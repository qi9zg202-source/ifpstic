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worksheets/sheet3.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xl/worksheets/sheet7.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问题域调查表" sheetId="1" r:id="rId3"/>
    <sheet name="数据基础调查表" sheetId="2" r:id="rId4"/>
    <sheet name="工程师工作项" sheetId="3" r:id="rId5"/>
    <sheet name="组件完成情况统计" sheetId="4" r:id="rId6"/>
    <sheet name="业务功能&amp;组件依赖关系" sheetId="5" r:id="rId7"/>
    <sheet name="部署运维" sheetId="6" r:id="rId8"/>
    <sheet name="组件完成情况统计(副本)" sheetId="7" r:id="rId9"/>
    <sheet name="工作表2" sheetId="8" state="hidden" r:id="rId10"/>
  </sheets>
  <calcPr/>
</workbook>
</file>

<file path=xl/sharedStrings.xml><?xml version="1.0" encoding="utf-8"?>
<sst xmlns="http://schemas.openxmlformats.org/spreadsheetml/2006/main" count="536" uniqueCount="536">
  <si>
    <t/>
  </si>
  <si>
    <t>类别</t>
  </si>
  <si>
    <t>具体资产</t>
  </si>
  <si>
    <t>已投入资源（人月）</t>
  </si>
  <si>
    <t>后续部署成本（人月）</t>
  </si>
  <si>
    <t>平台底座</t>
  </si>
  <si>
    <t>6人月</t>
  </si>
  <si>
    <t>基础运营，设备管理，设备运行状态管理</t>
  </si>
  <si>
    <t>1人月/5000台（设备数据导入）</t>
  </si>
  <si>
    <t>工作台、资产类维修、巡检、保养、业务字典配置等</t>
  </si>
  <si>
    <t>4人月</t>
  </si>
  <si>
    <t>数字孪生可视化</t>
  </si>
  <si>
    <t>1人月/5000台（业务数据配置）</t>
  </si>
  <si>
    <t>知识培训考核</t>
  </si>
  <si>
    <t>无</t>
  </si>
  <si>
    <t>业务运营</t>
  </si>
  <si>
    <t>四科运维业务模块、SPC、AI员工</t>
  </si>
  <si>
    <t>0.4人月/1个房间</t>
  </si>
  <si>
    <t>HSE</t>
  </si>
  <si>
    <t>能源双碳</t>
  </si>
  <si>
    <t>按实际情况评估</t>
  </si>
  <si>
    <t>Fab 机台</t>
  </si>
  <si>
    <t>数据层</t>
  </si>
  <si>
    <t>2人月/5000台（业务数据建模）</t>
  </si>
  <si>
    <t>算法资产</t>
  </si>
  <si>
    <t>10类图像识别模型可直接复用； 
7类耗材更换模型更换特征后可直接复用； 
52类时序预测模型，经过沟数据分析调整模型结构可复用； 
22类高效机房等复杂模型，需要重新梳理后复用。</t>
  </si>
  <si>
    <t>0.5人月/算法场景</t>
  </si>
  <si>
    <t>问题域 / 角色</t>
  </si>
  <si>
    <t>YE</t>
  </si>
  <si>
    <t>PIE</t>
  </si>
  <si>
    <t>EE</t>
  </si>
  <si>
    <t>PE</t>
  </si>
  <si>
    <t>Q</t>
  </si>
  <si>
    <t>MFG</t>
  </si>
  <si>
    <t>备注</t>
  </si>
  <si>
    <t>Tool Match</t>
  </si>
  <si>
    <t>✅分析</t>
  </si>
  <si>
    <t>✅处理</t>
  </si>
  <si>
    <t>机台一致性分析</t>
  </si>
  <si>
    <t>YE On Duty (Defect)</t>
  </si>
  <si>
    <t>✅编写/跟踪</t>
  </si>
  <si>
    <t>✅反馈</t>
  </si>
  <si>
    <t>✅执行</t>
  </si>
  <si>
    <t>✅协查</t>
  </si>
  <si>
    <t>缺陷分类→通知→分析流程</t>
  </si>
  <si>
    <t>PassDown</t>
  </si>
  <si>
    <t>交接班驱动</t>
  </si>
  <si>
    <t>WAT Dashboard</t>
  </si>
  <si>
    <t>✅监控</t>
  </si>
  <si>
    <t>WAT参数分析</t>
  </si>
  <si>
    <t>QTime</t>
  </si>
  <si>
    <t>✅跟踪</t>
  </si>
  <si>
    <t>QTime分析</t>
  </si>
  <si>
    <t>OCAP</t>
  </si>
  <si>
    <t>✅审核</t>
  </si>
  <si>
    <t>异常流程处理</t>
  </si>
  <si>
    <t>Impact Lot</t>
  </si>
  <si>
    <t>✅评估</t>
  </si>
  <si>
    <t>影响Lot机台分析</t>
  </si>
  <si>
    <t>Alarm响应</t>
  </si>
  <si>
    <t>✅支持</t>
  </si>
  <si>
    <t>分级报警响应机制</t>
  </si>
  <si>
    <t>SPC异常</t>
  </si>
  <si>
    <t>✅主责</t>
  </si>
  <si>
    <t>超规格处理流程</t>
  </si>
  <si>
    <t>物料/配方异常</t>
  </si>
  <si>
    <t>✅确认</t>
  </si>
  <si>
    <t>MES/Recipe验证</t>
  </si>
  <si>
    <t>新产品导入</t>
  </si>
  <si>
    <t>✅参数</t>
  </si>
  <si>
    <t>✅验证</t>
  </si>
  <si>
    <t>✅质量计划</t>
  </si>
  <si>
    <t>NPI阶段门审查</t>
  </si>
  <si>
    <t>编号</t>
  </si>
  <si>
    <t>模块</t>
  </si>
  <si>
    <t>应覆盖场景</t>
  </si>
  <si>
    <t>当前已实现</t>
  </si>
  <si>
    <t>待实现</t>
  </si>
  <si>
    <t>待投入研发资源(人/月)</t>
  </si>
  <si>
    <t>#1</t>
  </si>
  <si>
    <t>DCP设备点位直采</t>
  </si>
  <si>
    <t>PLC数据直采</t>
  </si>
  <si>
    <t>✅</t>
  </si>
  <si>
    <t>#10</t>
  </si>
  <si>
    <t>资产管理</t>
  </si>
  <si>
    <t>三方数据解析集成管理</t>
  </si>
  <si>
    <t>☑️</t>
  </si>
  <si>
    <t>#2</t>
  </si>
  <si>
    <t>时序数据库直插</t>
  </si>
  <si>
    <t>#11</t>
  </si>
  <si>
    <t>设备管理</t>
  </si>
  <si>
    <t>#3</t>
  </si>
  <si>
    <t>动态表单</t>
  </si>
  <si>
    <t>表单管理</t>
  </si>
  <si>
    <t>#12</t>
  </si>
  <si>
    <t>耗材管理</t>
  </si>
  <si>
    <t>#4</t>
  </si>
  <si>
    <t>数据源管理</t>
  </si>
  <si>
    <t>#13</t>
  </si>
  <si>
    <t>备件管理</t>
  </si>
  <si>
    <t>#5</t>
  </si>
  <si>
    <t>数据操作</t>
  </si>
  <si>
    <t>#14</t>
  </si>
  <si>
    <t>出库管理</t>
  </si>
  <si>
    <t>#6</t>
  </si>
  <si>
    <t>表单预览</t>
  </si>
  <si>
    <t>#15</t>
  </si>
  <si>
    <t>SPC</t>
  </si>
  <si>
    <t>点位管理与选择</t>
  </si>
  <si>
    <t>#7</t>
  </si>
  <si>
    <t>表单配置</t>
  </si>
  <si>
    <t>#16</t>
  </si>
  <si>
    <t>数据采集与预处理配置</t>
  </si>
  <si>
    <t>#8</t>
  </si>
  <si>
    <t>表单设计器</t>
  </si>
  <si>
    <t>#17</t>
  </si>
  <si>
    <t>控制图配置</t>
  </si>
  <si>
    <t>#9</t>
  </si>
  <si>
    <t>万能导入向导</t>
  </si>
  <si>
    <t>#18</t>
  </si>
  <si>
    <t>控制图分析与解读</t>
  </si>
  <si>
    <t>#19</t>
  </si>
  <si>
    <t>前端 Monorepo &amp; 微前端</t>
  </si>
  <si>
    <t>系统设置</t>
  </si>
  <si>
    <t>三维可视化组件（Web端）</t>
  </si>
  <si>
    <t>3D模型管理</t>
  </si>
  <si>
    <t>#20</t>
  </si>
  <si>
    <t>设备保养</t>
  </si>
  <si>
    <t>3D场景配置器</t>
  </si>
  <si>
    <t>#21</t>
  </si>
  <si>
    <t>FFU化滤可视化模型</t>
  </si>
  <si>
    <t>Web端3D渲染引擎</t>
  </si>
  <si>
    <t>#22</t>
  </si>
  <si>
    <t>移动端</t>
  </si>
  <si>
    <t>我的</t>
  </si>
  <si>
    <t>基础前端组件集</t>
  </si>
  <si>
    <t>#23</t>
  </si>
  <si>
    <t>预制设备类目3D模型集</t>
  </si>
  <si>
    <t>#24</t>
  </si>
  <si>
    <t>自定义巡检路线</t>
  </si>
  <si>
    <t>#25</t>
  </si>
  <si>
    <t>工具管理</t>
  </si>
  <si>
    <t>可视化人员定位</t>
  </si>
  <si>
    <t>#26</t>
  </si>
  <si>
    <t>BI报表</t>
  </si>
  <si>
    <t>数据源配置与管理</t>
  </si>
  <si>
    <t>BIM管线图</t>
  </si>
  <si>
    <t>#27</t>
  </si>
  <si>
    <t>数据集定义</t>
  </si>
  <si>
    <t>Call-in管理</t>
  </si>
  <si>
    <t>#28</t>
  </si>
  <si>
    <t>报表管理</t>
  </si>
  <si>
    <t>设备巡检</t>
  </si>
  <si>
    <t>#29</t>
  </si>
  <si>
    <t>报表组件</t>
  </si>
  <si>
    <t>设备维修</t>
  </si>
  <si>
    <t>#30</t>
  </si>
  <si>
    <t>报表设计</t>
  </si>
  <si>
    <t>#31</t>
  </si>
  <si>
    <t>报表预览</t>
  </si>
  <si>
    <t>报警中心</t>
  </si>
  <si>
    <t>报警分析</t>
  </si>
  <si>
    <t>#32</t>
  </si>
  <si>
    <t>报表分享</t>
  </si>
  <si>
    <t>报警管理</t>
  </si>
  <si>
    <t>#42</t>
  </si>
  <si>
    <t>WEB网关</t>
  </si>
  <si>
    <t>网关服务</t>
  </si>
  <si>
    <t>#33</t>
  </si>
  <si>
    <t>#43</t>
  </si>
  <si>
    <t>账户管理</t>
  </si>
  <si>
    <t>单点登录</t>
  </si>
  <si>
    <t>#34</t>
  </si>
  <si>
    <t>#44</t>
  </si>
  <si>
    <t>UAC</t>
  </si>
  <si>
    <t>#35</t>
  </si>
  <si>
    <t>#45</t>
  </si>
  <si>
    <t>基础设施管理</t>
  </si>
  <si>
    <t>指标系统管理</t>
  </si>
  <si>
    <t>#36</t>
  </si>
  <si>
    <t>#46</t>
  </si>
  <si>
    <t>分布式文件存储</t>
  </si>
  <si>
    <t>#37</t>
  </si>
  <si>
    <t>物质管理</t>
  </si>
  <si>
    <t>#47</t>
  </si>
  <si>
    <t>字典配置中心</t>
  </si>
  <si>
    <t>#38</t>
  </si>
  <si>
    <t>#48</t>
  </si>
  <si>
    <t>数据网关</t>
  </si>
  <si>
    <t>#39</t>
  </si>
  <si>
    <t>值班管理</t>
  </si>
  <si>
    <t>#49</t>
  </si>
  <si>
    <t>站内信</t>
  </si>
  <si>
    <t>#40</t>
  </si>
  <si>
    <t>知识库</t>
  </si>
  <si>
    <t>#52</t>
  </si>
  <si>
    <t>适配性工作</t>
  </si>
  <si>
    <t>算法（非预测类）</t>
  </si>
  <si>
    <t>#41</t>
  </si>
  <si>
    <t>FAB机台查询</t>
  </si>
  <si>
    <t>机台总览</t>
  </si>
  <si>
    <t>#53</t>
  </si>
  <si>
    <t>算法（预测类）</t>
  </si>
  <si>
    <t>异常查询</t>
  </si>
  <si>
    <t>#54</t>
  </si>
  <si>
    <t>AI智能体</t>
  </si>
  <si>
    <t>监控配置</t>
  </si>
  <si>
    <t>#55</t>
  </si>
  <si>
    <t>供应与使用</t>
  </si>
  <si>
    <t>#56</t>
  </si>
  <si>
    <t>PM维保查询</t>
  </si>
  <si>
    <t>#57</t>
  </si>
  <si>
    <t>公共查询平台</t>
  </si>
  <si>
    <t>#58</t>
  </si>
  <si>
    <t>PID/拓扑图(FMB）</t>
  </si>
  <si>
    <t>实体管理</t>
  </si>
  <si>
    <t>#59</t>
  </si>
  <si>
    <t>页面设计</t>
  </si>
  <si>
    <t>#60</t>
  </si>
  <si>
    <t>页面预览</t>
  </si>
  <si>
    <t>#61</t>
  </si>
  <si>
    <t>#50</t>
  </si>
  <si>
    <t>页面导入导出</t>
  </si>
  <si>
    <t>#62</t>
  </si>
  <si>
    <t>#63</t>
  </si>
  <si>
    <t>#64</t>
  </si>
  <si>
    <t>#65</t>
  </si>
  <si>
    <t>#66</t>
  </si>
  <si>
    <t>#67</t>
  </si>
  <si>
    <t>#68</t>
  </si>
  <si>
    <t>#69</t>
  </si>
  <si>
    <t>#70</t>
  </si>
  <si>
    <t>#71</t>
  </si>
  <si>
    <t>#72</t>
  </si>
  <si>
    <t>#73</t>
  </si>
  <si>
    <t>#74</t>
  </si>
  <si>
    <t>#75</t>
  </si>
  <si>
    <t>#76</t>
  </si>
  <si>
    <t>评估维度</t>
  </si>
  <si>
    <t>现状</t>
  </si>
  <si>
    <t>可抽取数据系统</t>
  </si>
  <si>
    <t>可抽取具体数据类型</t>
  </si>
  <si>
    <t>大数据基础建设</t>
  </si>
  <si>
    <t>数据采集能力</t>
  </si>
  <si>
    <t>是否有从系统采集数据的能力
抽取原始数据的能力？</t>
  </si>
  <si>
    <t>如MES、YMS、SPC、FDC、DMS、EAP......</t>
  </si>
  <si>
    <t>如WIP、Inline、Offline、TTPT、机台Chamber log...</t>
  </si>
  <si>
    <t>是否有数据湖</t>
  </si>
  <si>
    <t>是否有统一存储体系？如数据湖的基础架构</t>
  </si>
  <si>
    <t>数据互通能力</t>
  </si>
  <si>
    <t>收否有统一的数据接口？或别的方式实现数据互通？</t>
  </si>
  <si>
    <t>数据治理能力</t>
  </si>
  <si>
    <t>是否有明确的数据标准和治理规范？</t>
  </si>
  <si>
    <t>算法应用</t>
  </si>
  <si>
    <t>数据算法应用</t>
  </si>
  <si>
    <t>是否具有数据算法模型应用能力？</t>
  </si>
  <si>
    <t>CIM哪个系统中用到？</t>
  </si>
  <si>
    <t>运用什么类型数据？</t>
  </si>
  <si>
    <t>解决什么问题域？</t>
  </si>
  <si>
    <t>图像算法应用</t>
  </si>
  <si>
    <t>是否具有图像算法模型应用能力？</t>
  </si>
  <si>
    <t>大模型Agent应用</t>
  </si>
  <si>
    <t>大模型</t>
  </si>
  <si>
    <t>是否使用大模型？通用模型还是垂类模型？</t>
  </si>
  <si>
    <t>使用的模型名称？</t>
  </si>
  <si>
    <t>Agent</t>
  </si>
  <si>
    <t>是否使用Agent？</t>
  </si>
  <si>
    <t>与哪个系统有交互？</t>
  </si>
  <si>
    <t>运用了什么类型数据？</t>
  </si>
  <si>
    <t>账户</t>
  </si>
  <si>
    <t>设备台账管理</t>
  </si>
  <si>
    <t>#51</t>
  </si>
  <si>
    <t>序号</t>
  </si>
  <si>
    <t>子系统</t>
  </si>
  <si>
    <t>功能模块</t>
  </si>
  <si>
    <t>关联产品/组件</t>
  </si>
  <si>
    <t>业务报警</t>
  </si>
  <si>
    <t>报警设置</t>
  </si>
  <si>
    <t>设备台账</t>
  </si>
  <si>
    <t>维修管理</t>
  </si>
  <si>
    <t>安全管理</t>
  </si>
  <si>
    <t>缺失管理</t>
  </si>
  <si>
    <t>异常管理</t>
  </si>
  <si>
    <t>改善管理</t>
  </si>
  <si>
    <t>供应与使用查询</t>
  </si>
  <si>
    <t>能源管理</t>
  </si>
  <si>
    <t>能源报表</t>
  </si>
  <si>
    <t>#26~#32#47#48#49#二开</t>
  </si>
  <si>
    <t>能源监控</t>
  </si>
  <si>
    <t>#48#49#二开</t>
  </si>
  <si>
    <t>能源预测</t>
  </si>
  <si>
    <t>#26~#32</t>
  </si>
  <si>
    <t>双碳管理</t>
  </si>
  <si>
    <t>碳排放报表</t>
  </si>
  <si>
    <t>#47#48#49#二开</t>
  </si>
  <si>
    <t>碳排放监控</t>
  </si>
  <si>
    <t>碳排放核算</t>
  </si>
  <si>
    <t>#47#48#二开</t>
  </si>
  <si>
    <t>指标影响矩阵</t>
  </si>
  <si>
    <t>关系配置</t>
  </si>
  <si>
    <t>#二开</t>
  </si>
  <si>
    <t>影响矩阵</t>
  </si>
  <si>
    <t>自定义指标</t>
  </si>
  <si>
    <t>四科通用</t>
  </si>
  <si>
    <t>#15#16#17#18</t>
  </si>
  <si>
    <t>#3~#9#二开</t>
  </si>
  <si>
    <t>PID监控</t>
  </si>
  <si>
    <t>#69~#72</t>
  </si>
  <si>
    <t>耗材生命周期管理</t>
  </si>
  <si>
    <t>#10~#14#74#75</t>
  </si>
  <si>
    <t>机械科</t>
  </si>
  <si>
    <t>高效制冷机房</t>
  </si>
  <si>
    <t>#26~#32#49#74#75#二开</t>
  </si>
  <si>
    <t>洁净室数字化管理</t>
  </si>
  <si>
    <t>废气排放管理</t>
  </si>
  <si>
    <t>水质及加药管理</t>
  </si>
  <si>
    <t>#9 #74</t>
  </si>
  <si>
    <t>机台供应管理</t>
  </si>
  <si>
    <t>#3~#8</t>
  </si>
  <si>
    <t>电科</t>
  </si>
  <si>
    <t>电科单线图</t>
  </si>
  <si>
    <t>#70~#73</t>
  </si>
  <si>
    <t>电科拓扑图</t>
  </si>
  <si>
    <t>电科报表</t>
  </si>
  <si>
    <t>#3~#9#49#二开</t>
  </si>
  <si>
    <t>水科</t>
  </si>
  <si>
    <t>水平衡管理</t>
  </si>
  <si>
    <t>#15~#18#26~#32#二开</t>
  </si>
  <si>
    <t>化学品管理</t>
  </si>
  <si>
    <t>#3~#9#26~#32#二开</t>
  </si>
  <si>
    <t>废弃物管理</t>
  </si>
  <si>
    <t>公共能源管理</t>
  </si>
  <si>
    <t>水质检测管理</t>
  </si>
  <si>
    <t>#3~#9#15~#18#26~#32#二开</t>
  </si>
  <si>
    <t>相关性分析</t>
  </si>
  <si>
    <t>气化科</t>
  </si>
  <si>
    <t>气瓶管理</t>
  </si>
  <si>
    <t>侦测器管理</t>
  </si>
  <si>
    <t>耗量统计</t>
  </si>
  <si>
    <t>设备状态可视化</t>
  </si>
  <si>
    <t>#3~#9</t>
  </si>
  <si>
    <t>报警核查</t>
  </si>
  <si>
    <t>应急处置</t>
  </si>
  <si>
    <t>物资保养</t>
  </si>
  <si>
    <t>ERC物资</t>
  </si>
  <si>
    <t>系统权限管理</t>
  </si>
  <si>
    <t>用户管理</t>
  </si>
  <si>
    <t>部门管理</t>
  </si>
  <si>
    <t>岗位管理</t>
  </si>
  <si>
    <t>基础设置</t>
  </si>
  <si>
    <t>#19#二开</t>
  </si>
  <si>
    <t>数据字典</t>
  </si>
  <si>
    <t>工程师角色</t>
  </si>
  <si>
    <t>职责描述</t>
  </si>
  <si>
    <t>工作项</t>
  </si>
  <si>
    <t>业务场景</t>
  </si>
  <si>
    <t>场景描述</t>
  </si>
  <si>
    <t>One Step EP 功能模块</t>
  </si>
  <si>
    <t>负责生产中导致的缺陷监控及改善方案</t>
  </si>
  <si>
    <t>Daily PassDown（日常工作交接班）</t>
  </si>
  <si>
    <t>生产会议汇报</t>
  </si>
  <si>
    <t>班次内容及重点Event</t>
  </si>
  <si>
    <t>×</t>
  </si>
  <si>
    <t>Case Review</t>
  </si>
  <si>
    <t>Review 日常重要case</t>
  </si>
  <si>
    <t>Daily Work</t>
  </si>
  <si>
    <t>Hold Lot Monitor</t>
  </si>
  <si>
    <t>SPC OOC/OOS  Hold Lot 排序，决定处理优先级</t>
  </si>
  <si>
    <t>Defect Analysis</t>
  </si>
  <si>
    <t xml:space="preserve">1、ADC缺陷图片分类
2、DMS缺陷分析：图表、Map、关联分析等等
3、找到True Defect  </t>
  </si>
  <si>
    <t>DN</t>
  </si>
  <si>
    <t>1、准备数据，创建DN
2、跟踪DN，确定问题机台
3、验证处理结果，关闭DN</t>
  </si>
  <si>
    <t>Defect Management System-DN</t>
  </si>
  <si>
    <t>Defect library</t>
  </si>
  <si>
    <t>记录Defect library</t>
  </si>
  <si>
    <t>Defect Management System-Defect library</t>
  </si>
  <si>
    <t>分析DN Impact Lot并追踪</t>
  </si>
  <si>
    <t>Defect Management System-Impact Lot</t>
  </si>
  <si>
    <t>制程整合工程师负责确保制程品质，持续提升良率；
跟客户沟通并将客户需求与各个Module单位沟通合作生产</t>
  </si>
  <si>
    <t>Daliy passdown（日常工作交接班）</t>
  </si>
  <si>
    <t>重点Event汇报</t>
  </si>
  <si>
    <t>Review 日常重要case，重要问题会整理到OP Meeting汇报（有没有宕机、停线、Hold Lot、NTO的Mask没有到等等情况）</t>
  </si>
  <si>
    <t>日常case</t>
  </si>
  <si>
    <t>已完成case，未完成case同步与继续</t>
  </si>
  <si>
    <t>Hold Lot按排序等级分析原因</t>
  </si>
  <si>
    <t>NTO流片</t>
  </si>
  <si>
    <t>新产品下线到Fab流片：
1、PIDB 申请Product ID，下载GDSII文件，客户EN 
2、流片签核
3、流片生产（制定制程流程—&gt;建立WAT测试程式—&gt;顺利生产—&gt;不良品分析—&gt;改进措施）</t>
  </si>
  <si>
    <t>Lot Owner</t>
  </si>
  <si>
    <t>①处理好Runlot过程中突发的任何问题
②保证WAT电性参数的CPK稳定性
③保证高良率</t>
  </si>
  <si>
    <t>Abnormal Analysis</t>
  </si>
  <si>
    <t>当WAT参数或者 CP 良率出问题时，通过逻辑，经验分析，结合数据，找出线上出问题的步骤;需要对电性参数非常敏感，能够通过数据相关性分析和共性分析来追踪问题源头，并于PE和EE共同解决问题</t>
  </si>
  <si>
    <t>WAT Dashboard
Tool Matching
Golden Run Path
QTime</t>
  </si>
  <si>
    <t>Technology Transfer</t>
  </si>
  <si>
    <t>当新的工艺在其中一个 Fab 开发完成要导入到其他 Fab 以扩大产能就需要Technology Transfer，工程师需要确保转移的制程符合量产要求，且与原厂保持一致的电性参数</t>
  </si>
  <si>
    <t>负责建立工艺制程，并对制程进行管理与监测，持续做制程改善，提高生产效率，降低报废率，以及提出节省原料耗材成本的方案</t>
  </si>
  <si>
    <t>eview 日常重要case，重要问题会整理到OP Meeting汇报（PM Review、SPC/FDC OOC,OOS，DN，Tool Alarm、Booking EQP/Prep Dummy）</t>
  </si>
  <si>
    <t>PE-Daily-PassDown</t>
  </si>
  <si>
    <t>Base Line Review</t>
  </si>
  <si>
    <t>查询较长时间的baseline数据分析</t>
  </si>
  <si>
    <t>Tool Monitor</t>
  </si>
  <si>
    <t>关注机台状况</t>
  </si>
  <si>
    <t>Tool Alarm</t>
  </si>
  <si>
    <t>跟踪机台Chamber Alarm事件</t>
  </si>
  <si>
    <t xml:space="preserve">查看by Module的Hold lot trend chart </t>
  </si>
  <si>
    <t>PM</t>
  </si>
  <si>
    <t>查看最近一周PM安排计划，提前通知设备PM日期</t>
  </si>
  <si>
    <t>SPC Monitor</t>
  </si>
  <si>
    <t>跟踪By EQ ID/Time/Lot Id的SPC OOC/OOS的详细信息</t>
  </si>
  <si>
    <t>FDC Monitor</t>
  </si>
  <si>
    <t>跟踪By EQ ID/Time/Lot Id的FDC OOC/OOS的详细信息</t>
  </si>
  <si>
    <t>Inline Defect跟踪</t>
  </si>
  <si>
    <t>跟踪Inline defect image 和review结果，EDX， impact die ration ,kill ratio</t>
  </si>
  <si>
    <t>1、负责处理故障机台
2、定期维护保养</t>
  </si>
  <si>
    <t>Daily PassDown（日常工作交接）</t>
  </si>
  <si>
    <t>Review 日常重要case，重要问题会整理到OP Meeting汇报</t>
  </si>
  <si>
    <t>EE-Daily-PassDown</t>
  </si>
  <si>
    <t>机台/Chamber 可视化展示，查看机台24小时状态</t>
  </si>
  <si>
    <t>跟踪机台Alarm信息</t>
  </si>
  <si>
    <t>关注PM安排，PM monitor、更换了哪些parts、PM成功与否</t>
  </si>
  <si>
    <t>跟踪实施操作机台相关SPC OOC与OOS，总结PPT呈现</t>
  </si>
  <si>
    <t>跟踪FDC OOC与OOS，总结PPT呈现</t>
  </si>
  <si>
    <t xml:space="preserve">DN </t>
  </si>
  <si>
    <t>Review一天内发生的DN，处理，并总结PPT
Review 被YE/PIE high light 的Defect wafer</t>
  </si>
  <si>
    <t>Change Notice</t>
  </si>
  <si>
    <t>跟踪所有和change有关的机台Chamber报警</t>
  </si>
  <si>
    <t>负责人</t>
  </si>
  <si>
    <t>问题域</t>
  </si>
  <si>
    <t>所属(阶段)</t>
  </si>
  <si>
    <t>描述（产品）</t>
  </si>
  <si>
    <t>CIM</t>
  </si>
  <si>
    <t>关键参与顺序（参考）</t>
  </si>
  <si>
    <t>备注（写做到什么程度，哪些没做到，产品+专家）</t>
  </si>
  <si>
    <t>潜在客户</t>
  </si>
  <si>
    <t>系统</t>
  </si>
  <si>
    <t>数据载体</t>
  </si>
  <si>
    <t>数据+BI</t>
  </si>
  <si>
    <t>AI</t>
  </si>
  <si>
    <t>产品化</t>
  </si>
  <si>
    <t>AI赋能</t>
  </si>
  <si>
    <t>Before</t>
  </si>
  <si>
    <t>After</t>
  </si>
  <si>
    <t>孙寿磊</t>
  </si>
  <si>
    <t>告警与事件闭环</t>
  </si>
  <si>
    <t>告警与事件闭环（报警管理）围绕厂务设备运行过程中告警多、分散、响应不一致等问题，构建以“及时发现、有效处置、持续改进”为目标的统一告警与事件管理能力。通过对设备运行、业务系统及现场异常的统一告警接入，实现告警的集中管理、分级分类与标准化处置，将告警事件从触发、确认、处理到关闭形成完整闭环，避免告警遗漏与处置失控。</t>
  </si>
  <si>
    <t>☑</t>
  </si>
  <si>
    <t>●已做到：有报警管理/实时报警与通知展示，具备基础告警使用与统计的能力，支持人工确认、处置与关闭全过程记录。当前告警处理仍以人工判断和规则配置为主。
●未做到：告警治理（归并/抑制/关联）不足；告警到事件/工单/SLA/验收/复盘的端到端闭环未产品化，尚未形成成熟的自动分析与处置能力。</t>
  </si>
  <si>
    <t>智能化分级与自动派单。基于影响范围（整厂/区域/机台）、紧急程度、关联设备，由系统自动判定等级，并依据预设规则（SOP）自动派发至对应专业组或个人移动端。所有告警强制闭环，状态（发生、通知、处理、验证、关闭）全程追踪，与值班、绩效系统联动。
2010年代中期起深化。早期为简单通知，随移动化、规则引擎成熟，实现当前智能闭环。</t>
  </si>
  <si>
    <t>高宇航</t>
  </si>
  <si>
    <t>工单与任务调度</t>
  </si>
  <si>
    <t>将气瓶、酸桶更换，槽车填充及侦测器维护等工作标准化为工单与任务，支持自动派工、SLA时效、SOP标准化执行，形成可量化的人效与成本视角。</t>
  </si>
  <si>
    <t>●已做到：有任务看板等“任务化管理”的雏形，能支撑部分任务协同,支持自动派工、SLA时效、SOP标准化执行。
●未做到：工单辅助执行，自动汇总执行过程中相关信息，AI进行安全校验。</t>
  </si>
  <si>
    <t>基于耗材更换维护工单为主。系统根据设备传感器数据预测模型、周期性巡检要求，自动生成工单。结合人员技能认证、地理位置、工作量，进行优化调度，最大化维修团队效率。</t>
  </si>
  <si>
    <t>王艳</t>
  </si>
  <si>
    <t>值班与交接班</t>
  </si>
  <si>
    <t>建立四科标准化排班表，支持在线编辑与同步；系统自动根据排班生成交接班任务，关联人员、科室及当日关键运行信息，实现结构化、可追溯的智能交接，保障运维连续性。</t>
  </si>
  <si>
    <t>●已做到：在四科运维公共能力里已纳入值班管理方向。
●未做到：交接班自动汇总与交接质量指标未形成标准产品能力。</t>
  </si>
  <si>
    <t>数字化日志与关键事件驱动交接。通过移动端进行电子化交接班，系统自动提示本班未关闭告警、进行中的高风险作业、待跟进任务。交接内容结构化，确保信息无损传递，责任可追溯。
2010年代初随移动化普及。替代传统的纸质日志和白板会议。</t>
  </si>
  <si>
    <t>设备台账与维保</t>
  </si>
  <si>
    <t xml:space="preserve">面向半导体制造厂务设备数量大、类型多、生命周期长、运维复杂等核心挑战，构建以设备为中心的统一数字化管理能力。通过设备档案与设备运行台账相结合，系统性管理设备静态信息与运行动态，实现设备从建档、运行、巡检、点检、维修、保养的全生命周期闭环管理。通过标准化设备主数据、统一运行状态与运维记录口径，打破设备信息分散在各业务系统中的孤岛问题，支撑厂务设备管理由经验驱动向数据驱动转型。
</t>
  </si>
  <si>
    <t>●已做到：已建立厂务设备统一台账体系，并实现设备基础信息、维保记录的集中管理，支撑巡检、维修与保养等业务开展。
●未做到：当前设备管理仍以事后记录与经验判断为主，设备状态评估和预测能力尚不完善。后续可在设备运行与维护数据积累后，逐步探索设备健康评估与预警能力。</t>
  </si>
  <si>
    <t>全生命周期数字孪生。为每个关键设备（如冰机、泵、FFU）建立唯一数字ID，关联其手册、图纸、维保历史、备件清单。维保计划严格遵循可靠性为中心的维护策略，数据用于优化维保周期。
基础建于2000年代ERP/EAM系统上线时，数字孪生概念在2018年后加速应用。</t>
  </si>
  <si>
    <t>孙寿磊
王连豪</t>
  </si>
  <si>
    <t>备件与工具</t>
  </si>
  <si>
    <t>备件与工具管理围绕厂务运维过程中备品备件与工器具分散管理、可用性不透明、领用效率低等问题，构建以“可管、可用、可控”为目标的统一管理能力。通过对备件与工具的基础信息、库存状态、使用状态及关联设备进行集中管理，打通维修、保养等业务场景，实现备件与工具从入库、领用、归还到报废的全过程可追溯。</t>
  </si>
  <si>
    <t>●已做到：已实现备品备件与工具的基础台账、领用及库存管理，满足日常厂务运行保障需求。
●未做到：当前库存策略与补货决策主要依赖人工经验，尚未形成基于消耗数据的优化机制。后续可结合历史消耗与设备维保数据，逐步引入库存优化与补货辅助决策能力。。</t>
  </si>
  <si>
    <t>战略分级库存与智能仓储。对备件进行ABC分类（A类：关键、长交期；C类：通用、易购）。采用VMI、寄售等模式与关键供应商合作。重要备件使用智能柜，凭工单领用，自动扣减库存并触发采购。
智能仓储与VMI模式在2010年代中后期大规模推广，以降低资金占用。</t>
  </si>
  <si>
    <t>尹创科</t>
  </si>
  <si>
    <t>耗材与耗量经营</t>
  </si>
  <si>
    <t>耗材与耗量经营围绕厂务运行过程中高频、刚性耗材的消耗、库存与成本问题，构建以“耗量可见、消耗可管、成本可控”为目标的经营化管理能力。通过关联系统运行状态、巡检与维修工单等业务数据，对耗材的领用、消耗与库存进行统一采集与统计，形成设备与系统维度的耗量台账，为事后分析与成本核算提供数据基础。</t>
  </si>
  <si>
    <t>●已做到：已具备耗材使用与消耗数据的基础采集与统计能力，可支持事后分析与成本核算，在部分业务（如水科/气化）有耗材/用量类诉求与点状能力基础。
●未做到：当前消耗分析仍以汇总统计为主，对异常消耗和趋势变化的识别能力有限。后续可在数据完整性和准确性提升的基础上，逐步增强消耗分析深度与经营辅助能力。耗量归因、异常波动识别、补给策略、成本口径等未形成统一问题域与产品包。</t>
  </si>
  <si>
    <t>使用量精准追踪与成本分摊。对大宗气体、化学品、研磨液等，通过流量计、秤重系统实时监测使用点消耗，并与生产机台、制程程式关联，实现“耗材成本”精细分摊至每个生产批次，驱动节能降耗。
随厂务监控系统与MES集成深化而成熟（2010年代至今），是先进制造“耗量经营”的关键。</t>
  </si>
  <si>
    <t>董方媛</t>
  </si>
  <si>
    <t>消防设备与报警管理</t>
  </si>
  <si>
    <t>实现消防设备资产、智能巡检、报警治理与移动处置的全链路数字化闭环，并与三维可视化及应急预案智能联动。</t>
  </si>
  <si>
    <t>●已做到：消防系统管理已纳入产品化模块清单；与报警管理存在基础衔接空间。
●未做到：消防报警降噪治理、移动处置证据链、审计一键输出、与应急预案联动的闭环未标准化。</t>
  </si>
  <si>
    <t>定期自动测试与即时联动。消防设备状态（压力、有效期）在线监控。报警时，系统不仅声光报警，更自动执行预置动作：如关闭本区防火阀、启动排烟、联动门禁释放、将信息推送至应急指挥中心。
高标准始终存在，与楼宇自控的深度集成在2010年代达到新水平。</t>
  </si>
  <si>
    <t>ERC物资与应急处置</t>
  </si>
  <si>
    <t>构建“可视、可用、可调度”的动态应急保障体系，通过三维与预案驱动的工作流，实现一键启动、多端联动应急处置与复盘优化。</t>
  </si>
  <si>
    <t>●已做到：可视化模块里已覆盖“应急防控/指挥展示”类承载思路。
●未做到：ERC物资全生命周期（可用率/有效期/领用归还）与预案执行引擎（一键启动任务树/SLA升级/复盘整改）未产品化。</t>
  </si>
  <si>
    <t>标准化应急包与电子化预案。应急响应中心配备标准化的应急物资包。应急处置预案电子化、步骤化，集成在移动端。演练与真实事件形成闭环，用于优化预案。
持续优化。随法规要求（如中国环保法加严）和业界重大事故（如地震、停电）反馈而不断升级。</t>
  </si>
  <si>
    <t>王连豪</t>
  </si>
  <si>
    <t>能源管理与双碳</t>
  </si>
  <si>
    <t>打通数据孤岛治理能耗数据、具备系统分项计量、能耗强度统计、梳理能源流向、费用核算、管理能源绩效等基础能力，提供能耗趋势、峰谷分析、异常分析、能耗预测与节能减排效果分析。满足不同标准下的碳排放核算与排放源分析，管理碳排放绩效，管控碳资产。支撑工厂优化能源使用达成节能减排与绿色低碳目标</t>
  </si>
  <si>
    <t>●已做到：能源管理、双碳管理已作为明确产品化模块梳理，方向清晰，具备完整的基础功能。
●未做到：能源预测模型维度单一，缺少能源优化策略、能耗峰谷分析，能源模型不完善导致缺少能耗强度分析、能耗数据仿真、能效预测性维护能力；缺少碳足迹核算能力，“可复制的能源双碳运营包”还没收敛。</t>
  </si>
  <si>
    <t>PUE实时优化与碳足迹追踪。实时监控全厂PUE，通过AI模型优化冰机群控、风扇变频。建立全厂碳盘查系统，追踪直接与间接排放，支撑RE100绿电采购与减碳决策。
2015年后因节能压力凸显而强化，2020年“双碳”目标后成为战略重点。</t>
  </si>
  <si>
    <t>王彦龙</t>
  </si>
  <si>
    <t>三维可视化与大屏</t>
  </si>
  <si>
    <t>以三维空间为载体，把系统、设备、管线、点位、告警、工单与人员挂接到厂区地图，实现态势总览、快速定位与联动钻取，支撑指挥调度与对外展示。</t>
  </si>
  <si>
    <t>●已做到：三维可视化大屏、WEB端可视化已作为独立模块被纳入清单，可承载态势展示，数据接入设备、传感器、报警、摄像头。
●未做到：与告警/事件/工单/预案的联动钻取与指挥闭环不足；可视化数据仿真场景能力不足；更多偏展示型交付，产品化联动能力待补。</t>
  </si>
  <si>
    <t>数字孪生可视化与决策支持。基于BIM和实时数据构建厂区三维模型，实现管线、设备、报警的可视化定位。战时指挥大屏整合KPI、报警、视频，辅助管理层快速决策。
三维可视化在2018年后随游戏引擎、WebGL技术普及而广泛应用。</t>
  </si>
  <si>
    <t>移动端现场执行</t>
  </si>
  <si>
    <t>面向一线人员提供接单、巡检、处置、拍照留痕与回填能力，支持弱网/离线与扫码定位，提升现场响应效率与闭环质量。</t>
  </si>
  <si>
    <t>●已做到：PAD端基本完成，产品化阶段完成手机端。
●未做到：现场执行的强闭环（扫码定位/离线/证据链/一键回填/验收签核）未形成标准能力包。</t>
  </si>
  <si>
    <t>一站式工作平台。集成工单接收、图纸查阅、备件扫码、完工汇报、数据录入、即时通讯于一体，确保“人、事、物、地”信息在指尖，极大提升现场作业效率与合规性。
2010年代初期随智能终端普及而推广，现已成为标配。</t>
  </si>
  <si>
    <t>智能话务中心</t>
  </si>
  <si>
    <t>把电话报修与调度流程系统化，支持来电弹屏定位、自动建单派工、外拨催办、录音质检与SLA联动，降低沟通成本并提升响应一致性。</t>
  </si>
  <si>
    <t>●已做到：暂无在产品化模块清单中形成明确模块沉淀。
●未做到：来电弹屏定位、自动建单派工、外拨催办、录音质检、SLA联动等能力未产品化。</t>
  </si>
  <si>
    <t>AI语音分流与知识库辅助。接入电话后，AI自动识别来电人身份、部门，并初步理解问题，快速转接或提供标准答案。接线员有集成知识库支持，提升首次呼叫解决率。
2020年左右开始引入AI语音技术，作为员工服务效率提升工具。</t>
  </si>
  <si>
    <t>AI员工</t>
  </si>
  <si>
    <t>以Agent形态承接高频、规则明确的厂务工作（监理、巡检、问答、处置建议、自动建单与催办），实现“自动发现问题+推动闭环+持续复盘”的智能运营增量。</t>
  </si>
  <si>
    <t>●已做到：已在方向上被关注并有场景清单/探索基础（偏点状场景推进）。
●未做到：统一的Agent底座（权限/工具调用/留痕/评估）与“发现→建单→催办→复盘”的端到端闭环未标准化成产品。</t>
  </si>
  <si>
    <t>领域场景驱动的AI应用集群。非指具象机器人，而是嵌入在各环节的AI模型，如：能源预测模型、设备故障预测模型、智能巡检图像识别模型、文档自动分类机器人等，是“智能厂务”的大脑。
2018年后进入快速发展期，目前处于“场景深耕”阶段，从试点走向规模化应用。</t>
  </si>
  <si>
    <t>刘法丞</t>
  </si>
  <si>
    <t>FFU化滤全生命周期管理</t>
  </si>
  <si>
    <t>1. 模块概述
本模块旨在解决半导体晶圆厂（Fab）中化学过滤器（Chemical Filter）“高昂成本”与“良率风险”难以平衡的核心矛盾。通过融合环境监测数据、生产排程与资产模型，将传统的“固定周期维护”升级为“数据驱动的预测性维护”，实现耗材价值最大化与良率风险最小化的完美闭环。
2. 核心功能 (Key Capabilities)
全域资产数字化与可视化 (Digital Asset Mapping)
基于 3D 建模技术，对全厂数万台 FFU 及滤网建立**“一物一码”**的空间映射与电子台账。
打破资产管理“黑箱”，实现从入库、安装、运行到报废的全生命周期精准追溯，解决位置不清、型号混淆等管理难题。
视情维护与寿命预测 (CBM &amp; RUL Prediction)
摒弃粗放的“固定周期更换（Time-Based）”策略。系统实时整合 AMC/VOC 浓度监测、温湿度及风机运行数据。
构建剩余吸附容量算法模型，精准计算滤网剩余寿命（RUL），并针对“吸附穿透”与“脱附反吐”风险点进行提前预警，实现从“盲换”到“按需更换”的质变。
产线协同智能排程 (Smart Scheduling Integration)
解决厂务运维与生产制造（MFG）的“撞车”冲突。系统深度对接生产排程（Production Schedule）。
在滤网寿命预警窗口期内，自动寻优匹配机台 PM（预防性维护）、换班或低负载空窗期，智能派发更换工单，将非计划停机（Unplanned Downtime）降至最低。
供应商绩效量化画像 (Vendor Performance Profiling)
建立基于真实运行环境的耗材评价体系。
通过横向对比不同品牌、批次滤网的实际使用寿命、压降表现及吸附效率，生成客观的供应商质量画像，为采购部门提供“优胜劣汰”的数据决策支持。
3. 业务价值 (Business Value)
极致降本 (OpEx Optimization)： 榨干滤网“最后一滴价值”，杜绝未饱和报废，预计延长平均更换周期 10%-20%，显著降低百万级的耗材运营成本。
良率防御 (Yield Assurance)： 消除因滤网失效导致的微环境交叉污染，构建良率安全屏障。
精益运维 (Lean Operation)： 实现厂务与生产的零冲突协同，提升资产管理效率与供应链透明度。</t>
  </si>
  <si>
    <t>NA</t>
  </si>
  <si>
    <t>●已做到:FFU建模、化滤建模、化滤生命周期管理已交付,得到STICCR主办使用认可.
●未做到：化滤生命周期预测目前因客户现场在线传感器布置率低问题,无法准确预测,如新客户现场传感器满足条件,可准确预测化滤寿命.
●未做到：3D建模</t>
  </si>
  <si>
    <t>台积电的“滤网再生中心”与数字化追踪
台积电为了解决每年数十万片化学滤网的报废问题，建立了全球首座**“化学滤网再生中心”。这背后的支撑正是一套强大的全生命周期数字系统**：
一物一码（RFID/条码）： 每一片滤网在入库时就被打上唯一 ID。
全流程记录： 系统记录这片滤网何时安装、在哪个 Zone（光刻/蚀刻/薄膜）、经历了什么样的 AMC 浓度环境。
再生次数管控： 当滤网吸附饱和后，并不是直接丢弃，而是送去清洗再生。系统会严格记录**“这是第几次再生”**。如果达到再生次数上限（如 3-5 次）或性能测试不达标，系统才会判定报废。</t>
  </si>
  <si>
    <t>1. 痛点：高昂耗材的“过度维护”与“残值浪费” (Cost Waste)
现状： 化学过滤器（Chemical Filter）非常昂贵。目前 Fab 多采用**“固定周期更换”**（Time-Based Maintenance，例如每6个月一换）。但实际上，不同区域（光刻 vs 扩散）、不同机台的污染物浓度不同，很多滤网在更换时寿命并未耗尽。
解决： 从“定期更换”转变为“视情更换” (Condition-Based)。
利用环境监测数据（AMC/VOC浓度）结合 FFU 运行数据，计算滤网的剩余吸附容量。
价值： 榨干每一个滤网的最后一滴价值。如果能将全厂平均更换周期延长 10%-20%，对于 Fab 而言就是百万级的 OPEX（运营成本）节省。
2. 痛点：微污染“穿透”导致的隐形良率损失 (Yield Risk)
现状： 在过滤器寿命末期，吸附效率会呈非线性下降，甚至发生“脱附”（Desorption），将吸附的污染物反向释放回洁净室。如果仅靠人工定期抽检，往往发现时已经造成了晶圆的 AMC 污染（如 T-tover 问题）。
解决： 建立寿命预测与预警模型。
结合历史 AMC/Particle 数据和良率数据，精准预测“穿透点”。
价值： 在滤网失效前自动预警，杜绝因滤网饱和导致的“二次污染事故”，守住良率底线。
3. 痛点：运维与生产排程的“撞车” (Schedule Conflict)
现状： 厂务想换滤网，但产线正在赶货（WIP High），不给停机窗口；或者厂务趁着空窗期没换，等产线满载时滤网报警了，被迫紧急停机更换。
解决： 基于“排产计划”的维护窗口智能匹配。
系统读取生产排程（Production Schedule），结合滤网剩余寿命，自动寻找最佳更换窗口（如机台 PM 时间、换班间隙）。
价值： 最小化非计划停机（Unplanned Downtime）。 既不耽误生产，又完成了维护，解决了厂务与制造部（MFG）之间长期存在的协同矛盾。
4. 痛点：海量资产管理的“黑箱” (Asset Management)
现状： 一个大型 Fab 有数万台 FFU 和滤网。哪台风机有异响？哪个位置装的是酸性滤网还是碱性滤网？哪批滤网是哪个供应商的？依靠 Excel 和纸质标签管理，极易出错，追溯困难。
解决： 数字化台账与空间映射。
通过 3D 建模和数字化编码（Area/Group/Unit），实现资产的精准定位和全生命周期追溯（从入库、安装到报废）。
价值： 供应商质量画像。 可以通过数据横向对比不同品牌滤网的实际使用寿命和压降表现，为采购提供客观的数据支持（优胜劣汰）。
总结
这个功能模块解决的核心痛点是： 在极其昂贵的耗材成本（化学滤网）与极高的良率风险（AMC污染）之间，寻找到了基于数据的最优平衡点。
它不再是简单的“坏了修”，而是实现了**“预测性维护”与“精益化生产”**的深度融合。</t>
  </si>
  <si>
    <t>洁净室数字化管理模块 (Cleanroom Digital Management Module)
1. 模块概述
本模块利用数字孪生（Digital Twin）与CFD 仿真技术，将传统的“二维图表式”环境监控升级为**“三维空间化”的智能管理平台。它打破了厂务数据与制程机台的空间壁垒，将环境控制从被动的“参数合规”转化为主动的“良率防御”与“能效优化”**。
2. 核心功能 (Key Capabilities)
全域空间建模与异常溯源 (Spatial Mapping &amp; RCA)
功能描述： 建立洁净室高精度 3D 模型，将 AMC、VOC、Particle、温湿度等环境数据映射至物理坐标。
解决痛点： 针对 Yield Excursion（良率突降），系统能自动关联环境异常与机台位置，高亮显示受影响的微环境（Mini-environment）及扩散路径。
核心优势： 将根本原因分析（RCA）从“盲猜排查”转变为“精准定位”，大幅缩短制程缺陷的诊断周期。
气流组织仿真与按需供能 (CFD Simulation &amp; Energy Optimization)
功能描述： 集成 CFD 求解器，结合实时监控数据，动态分析气流死角、涡流及过度通风区域。
解决痛点： 解决**“过度设计与运维”**导致的高昂能耗。通过热图分析证明合规性，指导 FFU 转速与 MAU 负荷的精确下调。
核心优势： 实现“按需供风”闭环，在零良率风险的前提下，显著降低 Fab 最大的运营成本（电力 OPEX）。
变更风险虚拟预演 (Change Management Pre-simulation)
功能描述： 在机台 Move-in 或二次配管（Hook-up）施工前，在数字模型中模拟变更后的气流场与热负荷分布。
解决痛点： 消除物理施工对气流平衡的破坏风险，预防微污染卷入或交叉污染（如酸性气体倒灌光刻区）。
核心优势： 确保工程变更 “Right First Time”（一次做对），避免因环境不达标造成的二次返工与非计划停机。
数字化合规与智能报告 (Digital Compliance &amp; Reporting)
功能描述： 自动化生成基于特定区域、特定时段的 CPK（过程能力指数）分析报告与合规记录。
解决痛点： 解决审计时海量数据人工整理的低效与碎片化问题。
核心优势： 一键应对高端客户（如 Apple, Nvidia）及 ISO 审计，用数据可视化的方式证明厂务系统的稳定性（Stability）与可靠性（Reliability）。
3. 业务价值总结 (Value Proposition)
缩短 RCA 周期： 建立“环境-机台-良率”的时空索引，快速隔离风险，减少晶圆报废。
极致降本： 拒绝“过度运行”，用仿真数据支撑节能决策，直接降低 HVAC 系统能耗。
风险前置： 以虚拟仿真代替物理试错，保障产线变更期间的环境稳定性。
资产增信： 提升供应链透明度，将环境数据转化为赢得客户信任的资产。</t>
  </si>
  <si>
    <t>●已做到:2.5D洁净室建模,温湿度、洁净度指标已完成建设及接入.
●未做到：CFD气流仿真目前还未实现,已与客户主办工程师咨询解决方案(ANSYS Fluent) , 已与供应商进行初步沟通,可以做到 每5分钟进行仿真一次,生成报告(excel),通过IFP平台可将此报告同步到IFP系统加以业务使用.
●未做到：3D建模</t>
  </si>
  <si>
    <t>1. 台积电的“数字孪生洁净室” (Digital Twin Cleanroom)
台积电利用数字孪生技术，构建了与物理洁净室完全映射的虚拟世界。
他们怎么做：
全厂可视化： 不再看枯燥的 SCADA 数据表，而是通过 3D 模型查看全厂数万个感测点（Sensor）的状态。
流场可视： 结合 CFD 技术，在数字模型中实时模拟气流走向。如果某个区域风速不足或有涡流，系统会在 3D 图上标红。
温湿度热图 (Heat Map)： 实时生成洁净室的热分布图，一眼就能看出哪里是“热点”，哪里“过冷”。
2. 核心大杀器：厂务数据与良率的“强关联” (Facility-Yield Correlation)
这是台积电最厉害的地方，也是你设计中提到的**“痛点1：缩短良率异常排查周期”**的完美对标。
行业现状： 大多数 Fab 的厂务系统（FMCS）和生产系统（MES/YMS）是物理隔离的。厂务只管“灯是不是绿的”，不管良率。
台积电做法：
他们建立了大数据分析平台，将 FMCS 的环境数据（AMC、微粒、温度）与机台的良率数据（Defect Map）叠加分析。
场景： 当某个 Wafer 在某个机台出现了特定的 Defect（如腐蚀），系统会自动回溯该 Wafer 在该机台停留期间，机台周边的**微环境（Mini-environment）**数据。
结果： 瞬间判断是制程参数问题，还是当时环境里的 SO2（二氧化硫）超标了。这让 PIE（制程工程师）和 厂务 不再互相推诿。
3. “机台微环境”的极致 CFD 仿真
你提到的**“痛点3：机台二次配管导致气流紊乱”**，是台积电极为重视的环节。
台积电做法：
在任何新机台 Move-in（迁入）之前，必须先跑 CFD 仿真。
他们不仅模拟大环境，更模拟机台内部和**EFEM（前端模块）**的微小气流。
目的： 确保机台排气（Exhaust）和 FFU 供气达到完美平衡，防止产生“交叉污染”。如果没有 CFD 报告证明气流合格，机台是不允许开机生产的。
4. 自动化与 AMC 防控
AMC 实时图谱： 台积电在光刻区部署了高密度的 AMC 采样点，能够在数字平台上实时看到污染物的“云图”移动轨迹。
自动调控： 基于数字平台的分析，系统可以自动调节 MAU 的新风比或 FFU 的转速，而无需人工干预。</t>
  </si>
  <si>
    <t>1. 痛点：环境异常导致的“良率杀手”难以溯源（Yield Excursion）
现状： 晶圆良率突然下降，制程工程师（PIE）怀疑是环境问题，但传统监控只能提供一张庞大的 Excel 表格或二维曲线，难以对应到具体的机台（Tool）位置。
解决：
AMC/VOC/Particle 监控 + 3D 建模： 将环境数据“空间化”。一旦某区域出现微污染（AMC/VOC）超标，直接在 3D 模型上高亮显示受影响的机台范围。
价值： 缩短 RCA（根本原因分析） 时间。从“盲猜是哪个区域的问题”转变为“精准定位受影响的微环境（Mini-environment）”，快速隔离受污染晶圆，减少报废损失。
2. 痛点：盲目运行造成的高昂能耗（过度设计与运维）
现状： 为了确保洁净度万无一失，厂务往往将 FFU（风机过滤单元）覆盖率和转速开得过高，或者 MAU（新风机组）温湿度控制带过窄。这是极大的能源浪费。
解决：
CFD 仿真 + 实时监控： 通过仿真发现气流组织中的“死角”或“过度通风区”。结合实时数据，证明某些区域在降低 FFU 转速下仍能满足洁净度要求。
价值： 实现 按需供风。在不牺牲良率的前提下，精确降低电力成本（Fab 运营成本中最大的一块），响应“节能减排”KPI。
3. 痛点：机台二次配管（Hook-up）导致的气流紊乱风险
现状： Fab 经常进行机台移动或新机台迁入（Move-in/Move-out）。传统的做法是凭经验调整布局，容易造成气流短路、涡流，导致灰尘卷入制程区。
解决：
CFD 仿真： 在物理施工前，在数字模型中模拟机台布局变更后的气流走向，提前预判是否存在气流死角或热积聚。
价值： 风险前置。避免为了解决一个问题而制造出新的污染问题，减少因环境不达标导致的二次返工和产线停机（Downtime）。
4. 痛点：看不见的“微环境”交叉污染
现状： 某些高敏感制程（如光刻 Photo 区）对 AMC（气态分子污染物）极度敏感，而相邻区域可能就是产生酸性气体的湿法清洗区。无形的交叉污染很难被察觉。
解决：
AMC/VOC 历史数据分析 + CFD： 结合气流流向模拟和气体传感器数据，可视化污染物的扩散路径。
价值： 优化分区管理和压力梯度控制，防止脏空气倒灌入高洁净区。
5. 痛点：合规审计的数据碎片化
现状： 客户（如 Apple, Nvidia 等）或 ISO 审计时，需要查阅特定时间段、特定区域的环境达标记录。传统方式需要从 SCADA 系统导出海量原始数据再人工整理，效率极低且易出错。
解决：
历史监控数据分析： 一键生成特定区域、特定时段的温湿度、洁净度合规报告（CPK 分析）。
价值： 提升 数字化合规能力，用数据证明厂务系统的稳定性（Stability）和可靠性（Reliability）。</t>
  </si>
  <si>
    <t>高效制冷机房模块 (High-Efficiency Chiller Plant Module)
1. 模块概述
本模块专为半导体晶圆厂设计，旨在解决传统制冷系统在**“负载波动大”与“温控精度严”双重压力下的运行难题。它集成 AI 预测算法与全局优化策略，将制冷机房从单纯的能源消耗中心转变为“安全、稳定、极低能耗”**的智能能源站。
2. 核心功能 (Key Capabilities)
高效机房驾驶舱 (Centralized Command Cockpit)
功能描述： 提供制冷系统全链路的实时全景视图。包括冷机、水泵、冷却塔的运行状态、系统综合能效（SCOP）、冷负荷分布及关键温湿度指标。
解决痛点： 应对 [零容忍故障]。通过可视化监控，消除人工巡检盲区，确保洁净室环境参数维持在 22-24°C / 40-55% RH 的黄金窗口，防止因环境失控导致的整厂良率崩塌（Yield Crash）。
数据统计分析 (Advanced Data Analytics)
功能描述： 对设备长期运行数据进行深度挖掘。分析设备衰减曲线，识别 [设备退化] 趋势。
解决痛点： 解决 [负载不确定性] 带来的效率流失。通过历史数据比对，识别“大马拉小车”或“带病运行”的设备，指导设备维护与改造，避免因设备性能衰减导致的 20-30% 效率下降。
高效机房运行优化策略 (Global Optimization Strategy)
功能描述： 基于实时负荷的全局寻优算法。自动调节冷冻水出水温度、冷却塔风机转速及水泵频率，实现多温区（7°C/12°C/17°C）冷源的按需分配。
解决痛点： 应对 [复杂多区冷却需求] 与 [高能耗]。打破传统“定频/定温”运行模式，解决因外部环境干扰导致的季节性效率波动，显著降低占全厂 40-60% 的制冷电耗。
高效机房运行态势预测 (Operational Situation Prediction)
功能描述： 引入 AI 算法，结合生产排程、人员热负荷、室外气象数据，提前预测未来 1-24 小时的冷负荷变化。
解决痛点： 解决 [外部环境干扰] 与 [灵活性不足]。从“被动响应”转变为“主动调节（Feed-forward）”，提前预冷或卸载，平抑因外部空气变化或生产波动造成的系统冲击，确保光刻、蚀刻等核心工艺区的环境稳定性。
高效机房成本核算 (Cost Accounting &amp; ROI Analysis)
功能描述： 实时计算制冷单耗（kW/RT）、水电成本及碳排放指标，生成精细化的成本报表。
解决痛点： 针对 [运营成本高昂]（年电耗数亿美元）。将隐性的能源浪费显性化，为管理层提供清晰的 OPEX 优化路径，用数据验证节能改造的 ROI（投资回报率）。
3. 业务价值总结 (Value Proposition)
良率守护 (Yield Assurance)： 通过 AI 预测与精准调控，消除环境波动，确保光刻工艺区的温湿度控制在 ±0.1°C 级别，避免因环境失效导致的 93% 缺陷率惨剧。
极致节能 (Cost Reduction)： 通过全局优化策略，降低系统综合能耗，直接削减 Fab 厂最大的单项运营成本（电力），目标降低单耗 15%-25%。
可靠性增强 (Reliability)： 提前识别设备退化与故障风险，实现零意外停机，保障 24/7 不间断生产。</t>
  </si>
  <si>
    <t xml:space="preserve">●已做到:“高效机房已实现**‘监（驾驶舱）、管（策略）、控（优化）、算（成本）’**全链路核心功能上线，数据闭环已打通。”
</t>
  </si>
  <si>
    <t>1. 台积电高效制冷机房的核心技术特征
台积电的做法远超普通的“买一级能效冷机”，而是系统级的极致压榨：
双温/多温冷冻水系统 (Dual/Multi-Temperature Chilled Water System):
做法： 严格区分中温（Medium Temp, 12-18°C）和低温（Low Temp, 5-7°C）冷冻水回路。
目的： 中温水用于带走显热（Sensible Heat，如MAU预冷、干盘管DCC、制程设备冷却），这部分占据冷负荷的大头，提升出水温度可大幅提升冷机 COP；低温水仅用于除湿（Latent Heat）。
你的模块关联： 你的“二级功能3：运行优化策略”中提到的“多区冷却需求”正是此技术的软件实现核心。
全系统变频与磁悬浮技术 (Full VFD &amp; Magnetic Bearing):
做法： 大量采用磁悬浮离心机组（无油、低摩擦、高部分负荷性能）以及全变频的水泵和塔风机。
数据： 在低负荷工况下，磁悬浮机组的 IPLV（综合部分负荷性能）远高于传统机组。
AI 机器学习优化控制 (Machine Learning for Chiller Optimization):
做法： 台积电从 2016 年左右开始大规模引入 Machine Learning (ML) 取代传统的 PID 控制。
核心逻辑： 系统会收集过去数年的气象数据、IT 负载、产量（WIP）、进出水温差等数据，训练模型来预测未来 1-4 小时的最佳运行参数（冷机开启台数、冷却塔逼近度 Approach、水泵频率）。</t>
  </si>
  <si>
    <t>[高精度温湿度控制难度大]:晶圆厂洁净室需维持温度22-24°C（±0.5-1°C）、湿度40-55%（±5% RH），全年24/7不间断。传统系统易受外部因素影响，导致波动，影响光刻、蚀刻等工艺良率(例:湿度波动可导致溶剂蒸发不均或腐蚀，缺陷率升至93%。)。
[负载不确定性和设备退化]:生产负载（如人员、设备热排放）与设计值偏差大；设备长期运行导致冷却容量衰减，系统无法匹配实际需求(例:造成系统过大（浪费）或过小（环境失控），运营期内效率下降20-30%。)。
[复杂多区冷却需求]:不同工艺区需多种冷水温度（如7°C、12°C、17°C），加上热回收和AI优化需求，设计集成难度高(例:传统系统季节效率波动大，无法稳定多区供应，导致停机风险。)。
[零容忍故障与可靠性要求]:任何制冷中断（如冷却塔故障）可导致全厂停产，洁净室参数失控(例:中国某FAB因环境失效缺陷率达93%；需零意外停机，但传统系统易出问题。)。
[出气和污染控制]:设备出气（outgassing）释放气体污染环境，冷却系统需高频过滤，但增加负载(例:影响芯片性能，需专用HVAC过滤，维护复杂。)。
[高能耗与运营成本]:制冷系统能耗占全厂40-60%，年电耗高达20,908 kWh/m²，比普通建筑高50-100倍(例:传统系统效率低，增加数亿美元年成本。)。
[外部环境干扰与灵活性不足]:外部空气、季节变化干扰冷却，缺乏短期灵活性(例:影响便携性和扩展，设计周期长。)。</t>
  </si>
  <si>
    <t>Fab机台关联查询</t>
  </si>
  <si>
    <t>在半导体Fab中，机台运行与资源消耗直接影响生产稳定与成本。通过打通MES与厂务系统，构建“Fab机台及关联查询”模块，自动关联产量与水、电、气等消耗数据，既支持一线快速诊断设备状态，又为管理层提供单位产出能耗等指标，推动运维从保障向运营优化升级。</t>
  </si>
  <si>
    <t>●已做到：两个区域的两个机台气体物料与生产产量、产品类型、recipe的关联分析；
●未做到：厂务关注的机台侧与各科相关的参数需进一步协调二次配及MES子系统，需进一步构建区域能源模型</t>
  </si>
  <si>
    <t>台积电实现实时计算单片晶圆能耗（kWh/wafer）、OEE 等指标；自动关联机台异常与水、电、气消耗变化；为运维提供根因诊断，为管理层提供能效对标依据。
做法：通过MES（含设备、FDC）+SCADA+数据中台构建</t>
  </si>
  <si>
    <t>李迎</t>
  </si>
  <si>
    <t>构建全厂水网数字孪生，精准追踪每一吨水的来源、用途与去向，快速定位管网暗漏、非计划消耗与回收率偏差，实现从原水到废水排放的闭环分析与优化。其价值在于保障关键工艺供水绝对稳定、提升超纯水产水率、降低综合水耗与废水处理成本。</t>
  </si>
  <si>
    <t>●已做到：构建水网关系图，流量数据自动采集与水量数据自动计算；
●未做到：水量异常的根因智能分析</t>
  </si>
  <si>
    <t>spc过程控制</t>
  </si>
  <si>
    <t>SPC通过对厂务侧海量参数（如温度、湿度、压力、纯度、颗粒物浓度）进行实时采集、统计分析与规则判定，自动预警偏离趋势与异常波动，将传统的“事后响应”升级为“事前预测与事中控制”。其核心价值在于保障Fab生产环境恒定、预防因厂务系统波动导致的批次性良率损失或宕机风险，并通过CPK（过程能力指数）等量化指标持续优化设施性能，是实现半导体制造高可靠性与卓越运营的关键使能平台。</t>
  </si>
  <si>
    <t>●已做到：点位数据实时采集、图表分析、过程能力CPK分析
●未做到：控制图动态基线、直方图分析</t>
  </si>
  <si>
    <t>问题域解决什么角色什么问题？不同角色需要什么不同的报表？角色的决策顺序是什么？当前对角色已经实现的部分是否完善？是否有交叉？</t>
  </si>
  <si>
    <t>15年大数据
17年机器学习</t>
  </si>
  <si>
    <t>系统与问题域的Mapping关系表应该是n对n的关系</t>
  </si>
  <si>
    <r>
      <rPr>
        <rFont val="Microsoft YaHei"/>
        <b val="false"/>
        <i val="false"/>
        <strike val="false"/>
        <color rgb="FF000000"/>
        <sz val="11"/>
      </rPr>
      <t>IFP底座（Portal/消息/报警/大模型、微前端接入/运营流程/基础设备管理等）</t>
    </r>
    <r>
      <rPr>
        <rFont val="Microsoft YaHei"/>
        <b val="false"/>
        <i val="false"/>
        <strike val="false"/>
        <color rgb="FF000000"/>
        <sz val="11"/>
      </rPr>
      <t xml:space="preserve">
消息、报警、邮件、账户系统、人员角色鉴权、微前端接入等基础能力。</t>
    </r>
  </si>
  <si>
    <r>
      <rPr>
        <rFont val="Microsoft YaHei"/>
        <b val="false"/>
        <i val="false"/>
        <strike val="false"/>
        <color rgb="FF000000"/>
        <sz val="11"/>
      </rPr>
      <t>特征平台（跨厂区迁移）2. 数仓方案（8亿条/日建模规范）</t>
    </r>
    <r>
      <rPr>
        <rFont val="Microsoft YaHei"/>
        <b val="false"/>
        <i val="false"/>
        <strike val="false"/>
        <color rgb="FF000000"/>
        <sz val="11"/>
      </rPr>
      <t xml:space="preserve">
3. FMCS 数采上报规范</t>
    </r>
  </si>
  <si>
    <r>
      <rPr>
        <rFont val="Microsoft YaHei"/>
        <b val="true"/>
        <i val="false"/>
        <strike val="false"/>
        <color rgb="FF000000"/>
        <sz val="12"/>
        <u val="none"/>
      </rPr>
      <t>ToolType</t>
    </r>
    <r>
      <rPr>
        <rFont val="Microsoft YaHei"/>
        <b val="true"/>
        <i val="false"/>
        <strike val="false"/>
        <color rgb="FF000000"/>
        <sz val="12"/>
        <u val="none"/>
      </rPr>
      <t xml:space="preserve">
（已关联）</t>
    </r>
  </si>
  <si>
    <r>
      <rPr>
        <rFont val="Microsoft YaHei"/>
        <b val="true"/>
        <i val="false"/>
        <strike val="false"/>
        <color rgb="FF000000"/>
        <sz val="12"/>
        <u val="none"/>
      </rPr>
      <t>台积电实现时间与系统情况</t>
    </r>
    <r>
      <rPr>
        <rFont val="Microsoft YaHei"/>
        <b val="true"/>
        <i val="false"/>
        <strike val="false"/>
        <color rgb="FF000000"/>
        <sz val="12"/>
        <u val="none"/>
      </rPr>
      <t xml:space="preserve">
(暂估，访谈后确认)</t>
    </r>
  </si>
  <si>
    <r>
      <rPr>
        <rFont val="Microsoft YaHei"/>
        <b val="true"/>
        <i val="false"/>
        <strike val="false"/>
        <color rgb="FF000000"/>
        <sz val="12"/>
        <u val="none"/>
      </rPr>
      <t>STIC</t>
    </r>
    <r>
      <rPr>
        <rFont val="Microsoft YaHei"/>
        <b val="true"/>
        <i val="false"/>
        <strike val="false"/>
        <color rgb="FF000000"/>
        <sz val="12"/>
        <u val="none"/>
      </rPr>
      <t xml:space="preserve">
(项目孵化)</t>
    </r>
  </si>
  <si>
    <r>
      <rPr>
        <rFont val="Microsoft YaHei"/>
        <b val="true"/>
        <i val="false"/>
        <strike val="false"/>
        <color rgb="FF000000"/>
        <sz val="12"/>
        <u val="none"/>
      </rPr>
      <t>价值增长</t>
    </r>
    <r>
      <rPr>
        <rFont val="Microsoft YaHei"/>
        <b val="true"/>
        <i val="false"/>
        <strike val="false"/>
        <color rgb="FF000000"/>
        <sz val="12"/>
        <u val="none"/>
      </rPr>
      <t xml:space="preserve">
(规模化)</t>
    </r>
  </si>
</sst>
</file>

<file path=xl/styles.xml><?xml version="1.0" encoding="utf-8"?>
<styleSheet xmlns="http://schemas.openxmlformats.org/spreadsheetml/2006/main">
  <fonts count="26">
    <font>
      <name val="等线"/>
      <charset val="134"/>
      <family val="2"/>
      <color theme="1"/>
      <sz val="10"/>
      <scheme val="minor"/>
    </font>
    <font>
      <name val="等线"/>
      <charset val="134"/>
      <color rgb="FF175CEB"/>
      <sz val="10"/>
      <u/>
      <scheme val="minor"/>
    </font>
    <font>
      <name val="Segoe UI Symbol"/>
      <family val="2"/>
      <color rgb="FF000000"/>
      <sz val="10"/>
    </font>
    <font>
      <b val="true"/>
      <color rgb="FFFFFFFF"/>
      <sz val="12"/>
    </font>
    <font>
      <name val="Microsoft YaHei"/>
      <sz val="11"/>
    </font>
    <font>
      <name val="DengXian"/>
      <sz val="18"/>
    </font>
    <font>
      <sz val="10"/>
    </font>
    <font>
      <b val="true"/>
      <sz val="10"/>
    </font>
    <font>
      <b val="true"/>
      <color rgb="FF0C306E"/>
      <sz val="12"/>
    </font>
    <font>
      <b val="true"/>
    </font>
    <font>
      <color rgb="FFA5A5A5"/>
    </font>
    <font>
      <color rgb="FFA5A5A5"/>
    </font>
    <font>
      <color rgb="FF000000"/>
      <sz val="12"/>
    </font>
    <font>
      <name val="Microsoft YaHei"/>
    </font>
    <font>
      <b val="true"/>
      <color rgb="FFFF0000"/>
      <sz val="12"/>
    </font>
    <font>
      <b val="true"/>
      <color rgb="FFFF0000"/>
      <sz val="12"/>
    </font>
    <font/>
    <font/>
    <font>
      <name val="Microsoft YaHei"/>
      <b val="true"/>
      <color rgb="FF1450B8"/>
      <sz val="12"/>
    </font>
    <font>
      <name val="Microsoft YaHei"/>
      <b val="true"/>
      <sz val="12"/>
    </font>
    <font>
      <name val="Microsoft YaHei"/>
      <sz val="10"/>
    </font>
    <font>
      <name val="Microsoft YaHei"/>
      <sz val="12"/>
    </font>
    <font/>
    <font>
      <b val="true"/>
      <color rgb="FF2972F4"/>
      <sz val="12"/>
    </font>
    <font>
      <b val="true"/>
      <color rgb="FF2972F4"/>
    </font>
    <font/>
  </fonts>
  <fills count="12">
    <fill>
      <patternFill patternType="none"/>
    </fill>
    <fill>
      <patternFill patternType="gray125"/>
    </fill>
    <fill>
      <patternFill patternType="solid">
        <fgColor rgb="FF4472C4"/>
        <bgColor auto="true"/>
      </patternFill>
    </fill>
    <fill>
      <patternFill patternType="solid">
        <fgColor rgb="FFE5EFFF"/>
        <bgColor auto="true"/>
      </patternFill>
    </fill>
    <fill>
      <patternFill patternType="solid">
        <fgColor rgb="FFE5F6FF"/>
      </patternFill>
    </fill>
    <fill>
      <patternFill patternType="solid">
        <fgColor rgb="FF8CDDFA"/>
      </patternFill>
    </fill>
    <fill>
      <patternFill patternType="solid">
        <fgColor rgb="FFE5F6FF"/>
        <bgColor auto="true"/>
      </patternFill>
    </fill>
    <fill>
      <patternFill patternType="solid">
        <fgColor rgb="FFE5F6FF"/>
        <bgColor auto="true"/>
      </patternFill>
    </fill>
    <fill>
      <patternFill patternType="solid">
        <fgColor rgb="FFE5F6FF"/>
      </patternFill>
    </fill>
    <fill/>
    <fill/>
    <fill/>
  </fills>
  <borders count="20">
    <border>
      <left/>
      <right/>
      <top/>
      <bottom/>
      <diagonal/>
    </border>
    <border>
      <left style="medium">
        <color rgb="FFFFFFFF"/>
      </left>
      <right style="thin">
        <color rgb="FFFFFFFF"/>
      </right>
      <top style="medium">
        <color rgb="FFFFFFFF"/>
      </top>
      <bottom style="thin">
        <color rgb="FFFFFFFF"/>
      </bottom>
    </border>
    <border>
      <left style="medium">
        <color rgb="FFFFFFFF"/>
      </left>
      <right style="medium">
        <color rgb="FFFFFFFF"/>
      </right>
      <top style="medium">
        <color rgb="FFFFFFFF"/>
      </top>
      <bottom style="thin">
        <color rgb="FFFFFFFF"/>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style="thin">
        <color rgb="FF000000"/>
      </top>
    </border>
    <border>
      <left style="thin">
        <color rgb="FF000000"/>
      </left>
      <right style="thin">
        <color rgb="FF000000"/>
      </right>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right style="thin">
        <color rgb="FF000000"/>
      </right>
    </border>
    <border diagonalUp="true" diagonalDown="true">
      <left style="thin">
        <color rgb="FF000000"/>
      </left>
      <right style="thin">
        <color rgb="FF000000"/>
      </right>
      <top style="thin">
        <color rgb="FF000000"/>
      </top>
      <bottom style="thin">
        <color rgb="FF000000"/>
      </bottom>
      <diagonal/>
    </border>
    <border>
      <left/>
      <right/>
      <top/>
      <bottom/>
    </border>
  </borders>
  <cellStyleXfs>
    <xf numFmtId="0" fontId="0" fillId="0" borderId="0" xfId="0">
      <alignment vertical="center"/>
    </xf>
  </cellStyleXfs>
  <cellXfs count="89">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bottom"/>
    </xf>
    <xf fontId="3" fillId="2" borderId="2" xfId="0">
      <alignment vertical="bottom"/>
    </xf>
    <xf fontId="4" fillId="3" borderId="1" xfId="0">
      <alignment horizontal="center" vertical="bottom"/>
    </xf>
    <xf fontId="5" fillId="3" borderId="2" xfId="0">
      <alignment vertical="bottom" wrapText="true"/>
    </xf>
    <xf fontId="4" fillId="3" borderId="2" xfId="0">
      <alignment vertical="bottom"/>
    </xf>
    <xf fontId="0" fillId="0" borderId="1" xfId="0">
      <alignment vertical="center"/>
    </xf>
    <xf fontId="0" fillId="0" borderId="2" xfId="0">
      <alignment vertical="center"/>
    </xf>
    <xf fontId="4" fillId="3" borderId="2" xfId="0">
      <alignment vertical="bottom" wrapText="true"/>
    </xf>
    <xf fontId="6" fillId="0" borderId="3" xfId="0">
      <alignment vertical="center"/>
    </xf>
    <xf fontId="7" fillId="0" borderId="3" xfId="0">
      <alignment vertical="center"/>
    </xf>
    <xf fontId="0" fillId="0" borderId="3" xfId="0">
      <alignment vertical="center"/>
    </xf>
    <xf fontId="8" fillId="0" borderId="0" xfId="0">
      <alignment vertical="center" wrapText="true"/>
    </xf>
    <xf fontId="8" fillId="0" borderId="3" xfId="0">
      <alignment vertical="center" wrapText="true"/>
    </xf>
    <xf fontId="8" fillId="0" borderId="4" xfId="0">
      <alignment vertical="center" wrapText="true"/>
    </xf>
    <xf numFmtId="0" fontId="0" fillId="0" borderId="3" xfId="0">
      <alignment vertical="center" textRotation="0" justifyLastLine="false" shrinkToFit="false"/>
    </xf>
    <xf fontId="0" fillId="0" borderId="4" xfId="0">
      <alignment vertical="center" textRotation="0" indent="0" justifyLastLine="false" shrinkToFit="false"/>
    </xf>
    <xf fontId="0" fillId="0" borderId="3" xfId="0">
      <alignment vertical="center" textRotation="0" indent="0" justifyLastLine="false" shrinkToFit="false"/>
    </xf>
    <xf numFmtId="0" fontId="0" fillId="0" borderId="3" xfId="0">
      <alignment vertical="center" wrapText="true"/>
    </xf>
    <xf fontId="0" fillId="0" borderId="5" xfId="0">
      <alignment vertical="center"/>
    </xf>
    <xf fontId="0" fillId="0" borderId="4" xfId="0">
      <alignment vertical="center"/>
    </xf>
    <xf fontId="0" fillId="0" borderId="6" xfId="0">
      <alignment vertical="center"/>
    </xf>
    <xf fontId="0" fillId="0" borderId="7" xfId="0">
      <alignment vertical="center"/>
    </xf>
    <xf fontId="0" fillId="0" borderId="8" xfId="0">
      <alignment vertical="center"/>
    </xf>
    <xf fontId="0" fillId="0" borderId="9" xfId="0">
      <alignment vertical="center"/>
    </xf>
    <xf fontId="0" fillId="0" borderId="10" xfId="0">
      <alignment vertical="center"/>
    </xf>
    <xf fontId="0" fillId="0" borderId="11" xfId="0">
      <alignment vertical="center"/>
    </xf>
    <xf fontId="0" fillId="0" borderId="12" xfId="0">
      <alignment vertical="center"/>
    </xf>
    <xf fontId="0" fillId="0" borderId="13" xfId="0">
      <alignment vertical="center"/>
    </xf>
    <xf fontId="0" fillId="0" borderId="3" xfId="0">
      <alignment vertical="center" textRotation="0" wrapText="true" indent="0" justifyLastLine="false" shrinkToFit="false"/>
    </xf>
    <xf fontId="0" fillId="0" borderId="14" xfId="0">
      <alignment vertical="center" textRotation="0" indent="0" justifyLastLine="false" shrinkToFit="false"/>
    </xf>
    <xf fontId="0" fillId="0" borderId="15" xfId="0">
      <alignment vertical="center"/>
    </xf>
    <xf fontId="0" fillId="0" borderId="16" xfId="0">
      <alignment vertical="center"/>
    </xf>
    <xf fontId="9" fillId="4" borderId="3" xfId="0">
      <alignment horizontal="center" vertical="center" wrapText="true"/>
    </xf>
    <xf fontId="0" fillId="0" borderId="3" xfId="0">
      <alignment horizontal="center" vertical="center" wrapText="true"/>
    </xf>
    <xf fontId="0" fillId="0" borderId="3" xfId="0">
      <alignment vertical="center" wrapText="true"/>
    </xf>
    <xf fontId="10" fillId="0" borderId="3" xfId="0">
      <alignment vertical="center" wrapText="true"/>
    </xf>
    <xf fontId="11" fillId="0" borderId="3" xfId="0">
      <alignment vertical="center" wrapText="true"/>
    </xf>
    <xf fontId="12" fillId="5" borderId="3" xfId="0">
      <alignment vertical="center" textRotation="0" indent="0" justifyLastLine="false" shrinkToFit="false"/>
    </xf>
    <xf fontId="13" fillId="0" borderId="3" xfId="0">
      <alignment vertical="center" textRotation="0" indent="0" justifyLastLine="false" shrinkToFit="false"/>
    </xf>
    <xf fontId="0" fillId="0" borderId="3" xfId="0">
      <alignment vertical="center"/>
    </xf>
    <xf fontId="13" fillId="0" borderId="4" xfId="0">
      <alignment vertical="center" textRotation="0" indent="0" justifyLastLine="false" shrinkToFit="false"/>
    </xf>
    <xf fontId="13" fillId="0" borderId="7" xfId="0">
      <alignment vertical="center" textRotation="0" indent="0" justifyLastLine="false" shrinkToFit="false"/>
    </xf>
    <xf fontId="9" fillId="0" borderId="3" xfId="0">
      <alignment vertical="center" wrapText="true"/>
    </xf>
    <xf fontId="14" fillId="0" borderId="3" xfId="0">
      <alignment vertical="center" wrapText="true"/>
    </xf>
    <xf fontId="15" fillId="0" borderId="3" xfId="0">
      <alignment vertical="center" wrapText="true"/>
    </xf>
    <xf fontId="16" fillId="0" borderId="3" xfId="0">
      <alignment vertical="center" wrapText="true"/>
    </xf>
    <xf fontId="0" fillId="0" borderId="7" xfId="0">
      <alignment vertical="center" wrapText="true"/>
    </xf>
    <xf fontId="17" fillId="0" borderId="3" xfId="0">
      <alignment vertical="center" wrapText="true"/>
    </xf>
    <xf fontId="0" fillId="0" borderId="0" xfId="0">
      <alignment vertical="center" wrapText="true"/>
    </xf>
    <xf fontId="0" fillId="0" borderId="17" xfId="0">
      <alignment vertical="center" wrapText="true"/>
    </xf>
    <xf fontId="18" fillId="6" borderId="0" xfId="0">
      <alignment horizontal="center" vertical="center" textRotation="0" wrapText="true" indent="0" justifyLastLine="false" shrinkToFit="false"/>
    </xf>
    <xf fontId="18" fillId="7" borderId="3" xfId="0">
      <alignment horizontal="center" vertical="center" textRotation="0" wrapText="true" indent="0" justifyLastLine="false" shrinkToFit="false"/>
    </xf>
    <xf fontId="19" fillId="4" borderId="3" xfId="0">
      <alignment horizontal="center" vertical="center" wrapText="true"/>
    </xf>
    <xf fontId="19" fillId="8" borderId="3" xfId="0">
      <alignment horizontal="center" vertical="center" wrapText="true"/>
    </xf>
    <xf fontId="19" fillId="8" borderId="3" xfId="0">
      <alignment horizontal="center" vertical="center"/>
    </xf>
    <xf fontId="19" fillId="8" borderId="7" xfId="0">
      <alignment horizontal="center" vertical="center" wrapText="true"/>
    </xf>
    <xf fontId="19" fillId="8" borderId="18" xfId="0">
      <alignment horizontal="center" vertical="center" wrapText="true"/>
    </xf>
    <xf fontId="19" fillId="8" borderId="3" xfId="0">
      <alignment vertical="center"/>
    </xf>
    <xf numFmtId="0" fontId="20" fillId="9" borderId="3" xfId="0">
      <alignment horizontal="center" vertical="center" wrapText="true"/>
    </xf>
    <xf fontId="18" fillId="7" borderId="18" xfId="0">
      <alignment horizontal="center" vertical="center" textRotation="0" wrapText="true" indent="0" justifyLastLine="false" shrinkToFit="false"/>
    </xf>
    <xf numFmtId="9" fontId="20" fillId="0" borderId="3" xfId="0">
      <alignment horizontal="center" vertical="center" wrapText="true"/>
    </xf>
    <xf numFmtId="0" fontId="20" fillId="0" borderId="3" xfId="0">
      <alignment horizontal="left" vertical="center" wrapText="true"/>
    </xf>
    <xf fontId="21" fillId="0" borderId="3" xfId="0">
      <alignment horizontal="center" vertical="center" wrapText="true"/>
    </xf>
    <xf fontId="0" fillId="0" borderId="3" xfId="0">
      <alignment horizontal="left" vertical="center" wrapText="true"/>
    </xf>
    <xf numFmtId="0" fontId="22" fillId="0" borderId="3" xfId="0">
      <alignment vertical="center" wrapText="true"/>
    </xf>
    <xf fontId="6" fillId="0" borderId="19" xfId="0">
      <alignment vertical="center" wrapText="true"/>
    </xf>
    <xf fontId="22" fillId="0" borderId="3" xfId="0">
      <alignment vertical="center" wrapText="true"/>
    </xf>
    <xf fontId="17" fillId="10" borderId="18" xfId="0">
      <alignment vertical="center"/>
    </xf>
    <xf fontId="17" fillId="11" borderId="18" xfId="0">
      <alignment vertical="center"/>
    </xf>
    <xf fontId="23" fillId="5" borderId="18" xfId="0">
      <alignment horizontal="center" vertical="center"/>
    </xf>
    <xf numFmtId="0" fontId="23" fillId="5" borderId="18" xfId="0">
      <alignment horizontal="center" vertical="center"/>
    </xf>
    <xf fontId="17" fillId="10" borderId="0" xfId="0">
      <alignment horizontal="center" vertical="center"/>
    </xf>
    <xf numFmtId="9" fontId="0" fillId="0" borderId="3" xfId="0">
      <alignment horizontal="center" vertical="center" wrapText="true"/>
    </xf>
    <xf numFmtId="9" fontId="0" fillId="0" borderId="3" xfId="0">
      <alignment vertical="center" wrapText="true"/>
    </xf>
    <xf fontId="18" fillId="6" borderId="18" xfId="0">
      <alignment horizontal="center" vertical="center" textRotation="0" wrapText="true" indent="0" justifyLastLine="false" shrinkToFit="false"/>
    </xf>
    <xf fontId="17" fillId="10" borderId="18" xfId="0">
      <alignment vertical="center"/>
    </xf>
    <xf fontId="9" fillId="0" borderId="3" xfId="0">
      <alignment vertical="center" wrapText="true" justifyLastLine="false" shrinkToFit="false"/>
    </xf>
    <xf fontId="0" fillId="0" borderId="3" xfId="0">
      <alignment vertical="center"/>
    </xf>
    <xf fontId="9" fillId="0" borderId="3" xfId="0">
      <alignment vertical="center"/>
    </xf>
    <xf fontId="24" fillId="0" borderId="3" xfId="0">
      <alignment vertical="center" wrapText="true" justifyLastLine="false" shrinkToFit="false"/>
    </xf>
    <xf fontId="24" fillId="0" borderId="3" xfId="0">
      <alignment vertical="center" wrapText="true"/>
    </xf>
    <xf fontId="25" fillId="10" borderId="0" xfId="0">
      <alignment horizontal="center" vertical="center"/>
    </xf>
    <xf fontId="25" fillId="10" borderId="18" xfId="0">
      <alignment vertical="center"/>
    </xf>
    <xf fontId="0" fillId="0" borderId="0" xfId="0">
      <alignment horizontal="center" vertical="center" wrapText="true"/>
    </xf>
    <xf fontId="0" fillId="0" borderId="0" xfId="0">
      <alignment horizontal="center"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7" Type="http://schemas.openxmlformats.org/officeDocument/2006/relationships/worksheet" Target="worksheets/sheet5.xml" /><Relationship Id="rId6" Type="http://schemas.openxmlformats.org/officeDocument/2006/relationships/worksheet" Target="worksheets/sheet4.xml" /><Relationship Id="rId5" Type="http://schemas.openxmlformats.org/officeDocument/2006/relationships/worksheet" Target="worksheets/sheet3.xml" /><Relationship Id="rId1" Type="http://schemas.openxmlformats.org/officeDocument/2006/relationships/theme" Target="theme/theme1.xml" /><Relationship Id="rId0" Type="http://schemas.openxmlformats.org/officeDocument/2006/relationships/sharedStrings" Target="sharedStrings.xml" /><Relationship Id="rId10" Type="http://schemas.openxmlformats.org/officeDocument/2006/relationships/worksheet" Target="worksheets/sheet8.xml" /><Relationship Id="rId3" Type="http://schemas.openxmlformats.org/officeDocument/2006/relationships/worksheet" Target="worksheets/sheet1.xml" /><Relationship Id="rId2" Type="http://schemas.openxmlformats.org/officeDocument/2006/relationships/styles" Target="styles.xml" /><Relationship Id="rId4" Type="http://schemas.openxmlformats.org/officeDocument/2006/relationships/worksheet" Target="worksheets/sheet2.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问题域调查表"/>
  <dimension ref="B105"/>
  <sheetViews>
    <sheetView showGridLines="true" workbookViewId="0">
      <pane xSplit="2" ySplit="2" topLeftCell="C3" state="frozen"/>
    </sheetView>
  </sheetViews>
  <cols>
    <col min="1" max="1" width="7.68359" style="37" customWidth="true"/>
    <col min="2" max="2" width="24.2812" style="38" customWidth="true"/>
    <col min="3" max="3" width="11.5234" style="38" customWidth="true"/>
    <col min="4" max="4" width="7.68359" style="38" customWidth="true"/>
    <col min="5" max="5" width="7.87109" style="38" customWidth="true"/>
    <col min="6" max="6" width="9.84375" style="38" customWidth="true"/>
    <col min="7" max="7" width="47.7617" style="38" customWidth="true"/>
    <col min="8" max="8" width="7.28125" style="38" customWidth="true"/>
    <col min="9" max="9" width="7.41406" style="38" customWidth="true"/>
    <col min="10" max="10" width="7.95312" style="38" customWidth="true"/>
    <col min="11" max="11" width="7.68359" style="38" customWidth="true"/>
    <col min="12" max="12" width="8.38281" style="38" customWidth="true"/>
    <col min="13" max="13" width="8.09375" style="38" customWidth="true"/>
    <col min="14" max="14" width="27.1133" style="38" customWidth="true"/>
    <col min="15" max="15" width="12.0039" style="38" customWidth="true"/>
    <col min="16" max="16" width="34.5312" style="38" customWidth="true"/>
    <col min="17" max="17" width="29.0039" style="38" customWidth="true"/>
    <col min="18" max="18" width="14.832" style="38" customWidth="true"/>
    <col min="19" max="19" width="13.6719" style="38"/>
    <col min="20" max="20" width="8.90234" style="38" customWidth="true"/>
    <col min="21" max="21" width="8.76172" style="38" customWidth="true"/>
    <col min="22" max="34" width="13.6719" style="38"/>
  </cols>
  <sheetData>
    <row r="1" spans="1:23" ht="16.5" customHeight="true">
      <c r="A1" s="54" t="s">
        <v>425</v>
      </c>
      <c r="B1" s="55" t="s">
        <v>426</v>
      </c>
      <c r="C1" s="56" t="s">
        <v>427</v>
      </c>
      <c r="D1" s="14" t="s"/>
      <c r="E1" s="57" t="s"/>
      <c r="F1" s="14" t="s"/>
      <c r="G1" s="57" t="s">
        <v>428</v>
      </c>
      <c r="H1" s="58" t="s">
        <v>319</v>
      </c>
      <c r="I1" s="58" t="s">
        <v>325</v>
      </c>
      <c r="J1" s="57" t="s">
        <v>335</v>
      </c>
      <c r="K1" s="57" t="s">
        <v>310</v>
      </c>
      <c r="L1" s="57" t="s">
        <v>18</v>
      </c>
      <c r="M1" s="59" t="s">
        <v>429</v>
      </c>
      <c r="N1" s="57" t="s">
        <v>430</v>
      </c>
      <c r="O1" s="57" t="s">
        <v>532</v>
      </c>
      <c r="P1" s="57" t="s">
        <v>431</v>
      </c>
      <c r="Q1" s="57" t="s">
        <v>533</v>
      </c>
      <c r="R1" s="56" t="s">
        <v>432</v>
      </c>
      <c r="S1" s="56" t="s">
        <v>433</v>
      </c>
      <c r="T1" s="57" t="s">
        <v>434</v>
      </c>
      <c r="U1" s="14" t="s"/>
      <c r="V1" s="56" t="s">
        <v>435</v>
      </c>
      <c r="W1" s="56" t="s">
        <v>436</v>
      </c>
    </row>
    <row r="2" spans="2:23" ht="47.25" customHeight="true">
      <c r="B2" s="14" t="s"/>
      <c r="C2" s="60" t="s">
        <v>534</v>
      </c>
      <c r="D2" s="57" t="s">
        <v>437</v>
      </c>
      <c r="E2" s="57" t="s">
        <v>438</v>
      </c>
      <c r="F2" s="57" t="s">
        <v>535</v>
      </c>
      <c r="G2" s="14" t="s"/>
      <c r="H2" s="14" t="s"/>
      <c r="I2" s="14" t="s"/>
      <c r="J2" s="14" t="s"/>
      <c r="K2" s="14" t="s"/>
      <c r="L2" s="14" t="s"/>
      <c r="M2" s="28" t="s"/>
      <c r="N2" s="14" t="s"/>
      <c r="O2" s="14" t="s"/>
      <c r="P2" s="14" t="s"/>
      <c r="Q2" s="14" t="s"/>
      <c r="R2" s="14" t="s"/>
      <c r="S2" s="14" t="s"/>
      <c r="T2" s="61" t="s">
        <v>439</v>
      </c>
      <c r="U2" s="61" t="s">
        <v>440</v>
      </c>
      <c r="V2" s="14" t="s"/>
      <c r="W2" s="14" t="s"/>
    </row>
    <row r="3" spans="1:19">
      <c r="A3" s="62" t="s">
        <v>441</v>
      </c>
      <c r="B3" s="63" t="s">
        <v>442</v>
      </c>
      <c r="C3" s="64">
        <v>0.5</v>
      </c>
      <c r="D3" s="64">
        <v>0.6</v>
      </c>
      <c r="E3" s="64">
        <v>0.8</v>
      </c>
      <c r="F3" s="64">
        <v>1</v>
      </c>
      <c r="G3" s="65" t="s">
        <v>443</v>
      </c>
      <c r="H3" s="66" t="s">
        <v>444</v>
      </c>
      <c r="I3" s="66" t="s">
        <v>444</v>
      </c>
      <c r="J3" s="66" t="s">
        <v>444</v>
      </c>
      <c r="K3" s="66" t="s">
        <v>444</v>
      </c>
      <c r="L3" s="66" t="s">
        <v>444</v>
      </c>
      <c r="M3" s="38" t="s"/>
      <c r="N3" s="38" t="s"/>
      <c r="O3" s="38" t="s"/>
      <c r="P3" s="21" t="s">
        <v>445</v>
      </c>
      <c r="Q3" s="67" t="s">
        <v>446</v>
      </c>
      <c r="R3" s="37" t="s"/>
      <c r="S3" s="38" t="s"/>
    </row>
    <row r="4" spans="1:19">
      <c r="A4" s="62" t="s">
        <v>447</v>
      </c>
      <c r="B4" s="63" t="s">
        <v>448</v>
      </c>
      <c r="C4" s="64">
        <v>0.7</v>
      </c>
      <c r="D4" s="64">
        <v>0.8</v>
      </c>
      <c r="E4" s="64">
        <v>0.9</v>
      </c>
      <c r="F4" s="64">
        <v>1</v>
      </c>
      <c r="G4" s="65" t="s">
        <v>449</v>
      </c>
      <c r="H4" s="66" t="s">
        <v>444</v>
      </c>
      <c r="I4" s="66" t="s">
        <v>444</v>
      </c>
      <c r="J4" s="66" t="s">
        <v>444</v>
      </c>
      <c r="K4" s="66" t="s">
        <v>444</v>
      </c>
      <c r="L4" s="66" t="s">
        <v>444</v>
      </c>
      <c r="M4" s="38" t="s"/>
      <c r="N4" s="38" t="s"/>
      <c r="O4" s="51" t="s"/>
      <c r="P4" s="68" t="s">
        <v>450</v>
      </c>
      <c r="Q4" s="67" t="s">
        <v>451</v>
      </c>
      <c r="R4" s="38" t="s"/>
      <c r="S4" s="38" t="s"/>
    </row>
    <row r="5" spans="1:19">
      <c r="A5" s="62" t="s">
        <v>452</v>
      </c>
      <c r="B5" s="63" t="s">
        <v>453</v>
      </c>
      <c r="C5" s="64">
        <v>0.7</v>
      </c>
      <c r="D5" s="64">
        <v>0.8</v>
      </c>
      <c r="E5" s="64">
        <v>0.9</v>
      </c>
      <c r="F5" s="64">
        <v>1</v>
      </c>
      <c r="G5" s="65" t="s">
        <v>454</v>
      </c>
      <c r="H5" s="66" t="s">
        <v>444</v>
      </c>
      <c r="I5" s="66" t="s">
        <v>444</v>
      </c>
      <c r="J5" s="66" t="s">
        <v>444</v>
      </c>
      <c r="K5" s="66" t="s">
        <v>444</v>
      </c>
      <c r="L5" s="66" t="s"/>
      <c r="M5" s="38" t="s"/>
      <c r="N5" s="38" t="s"/>
      <c r="O5" s="51" t="s"/>
      <c r="P5" s="68" t="s">
        <v>455</v>
      </c>
      <c r="Q5" s="67" t="s">
        <v>456</v>
      </c>
      <c r="R5" s="38" t="s"/>
      <c r="S5" s="38" t="s"/>
    </row>
    <row r="6" spans="1:19">
      <c r="A6" s="62" t="s">
        <v>441</v>
      </c>
      <c r="B6" s="63" t="s">
        <v>457</v>
      </c>
      <c r="C6" s="64">
        <v>0.6</v>
      </c>
      <c r="D6" s="64">
        <v>0.8</v>
      </c>
      <c r="E6" s="64">
        <v>0.9</v>
      </c>
      <c r="F6" s="64">
        <v>1</v>
      </c>
      <c r="G6" s="65" t="s">
        <v>458</v>
      </c>
      <c r="H6" s="66" t="s">
        <v>444</v>
      </c>
      <c r="I6" s="66" t="s">
        <v>444</v>
      </c>
      <c r="J6" s="66" t="s">
        <v>444</v>
      </c>
      <c r="K6" s="66" t="s">
        <v>444</v>
      </c>
      <c r="L6" s="66" t="s">
        <v>444</v>
      </c>
      <c r="M6" s="38" t="s"/>
      <c r="N6" s="38" t="s"/>
      <c r="O6" s="51" t="s"/>
      <c r="P6" s="68" t="s">
        <v>459</v>
      </c>
      <c r="Q6" s="67" t="s">
        <v>460</v>
      </c>
      <c r="R6" s="38" t="s"/>
      <c r="S6" s="38" t="s"/>
    </row>
    <row r="7" spans="1:19">
      <c r="A7" s="62" t="s">
        <v>461</v>
      </c>
      <c r="B7" s="63" t="s">
        <v>462</v>
      </c>
      <c r="C7" s="64">
        <v>0.5</v>
      </c>
      <c r="D7" s="64">
        <v>0.8</v>
      </c>
      <c r="E7" s="64">
        <v>0.9</v>
      </c>
      <c r="F7" s="64">
        <v>1</v>
      </c>
      <c r="G7" s="65" t="s">
        <v>463</v>
      </c>
      <c r="H7" s="66" t="s">
        <v>444</v>
      </c>
      <c r="I7" s="66" t="s">
        <v>444</v>
      </c>
      <c r="J7" s="66" t="s">
        <v>444</v>
      </c>
      <c r="K7" s="66" t="s">
        <v>444</v>
      </c>
      <c r="L7" s="66" t="s">
        <v>444</v>
      </c>
      <c r="M7" s="38" t="s"/>
      <c r="N7" s="38" t="s"/>
      <c r="O7" s="51" t="s"/>
      <c r="P7" s="68" t="s">
        <v>464</v>
      </c>
      <c r="Q7" s="67" t="s">
        <v>465</v>
      </c>
      <c r="R7" s="38" t="s"/>
      <c r="S7" s="38" t="s"/>
    </row>
    <row r="8" spans="1:19">
      <c r="A8" s="62" t="s">
        <v>466</v>
      </c>
      <c r="B8" s="63" t="s">
        <v>467</v>
      </c>
      <c r="C8" s="64">
        <v>0.5</v>
      </c>
      <c r="D8" s="64">
        <v>0.8</v>
      </c>
      <c r="E8" s="64">
        <v>0.9</v>
      </c>
      <c r="F8" s="64">
        <v>1</v>
      </c>
      <c r="G8" s="69" t="s">
        <v>468</v>
      </c>
      <c r="H8" s="66" t="s">
        <v>444</v>
      </c>
      <c r="I8" s="66" t="s">
        <v>444</v>
      </c>
      <c r="J8" s="66" t="s">
        <v>444</v>
      </c>
      <c r="K8" s="66" t="s">
        <v>444</v>
      </c>
      <c r="L8" s="38" t="s"/>
      <c r="M8" s="38" t="s"/>
      <c r="N8" s="38" t="s"/>
      <c r="O8" s="51" t="s"/>
      <c r="P8" s="70" t="s">
        <v>469</v>
      </c>
      <c r="Q8" s="67" t="s">
        <v>470</v>
      </c>
      <c r="R8" s="38" t="s"/>
      <c r="S8" s="38" t="s"/>
    </row>
    <row r="9" spans="1:19">
      <c r="A9" s="62" t="s">
        <v>471</v>
      </c>
      <c r="B9" s="63" t="s">
        <v>472</v>
      </c>
      <c r="C9" s="64">
        <v>0.7</v>
      </c>
      <c r="D9" s="64">
        <v>0.8</v>
      </c>
      <c r="E9" s="64">
        <v>0.9</v>
      </c>
      <c r="F9" s="64">
        <v>1</v>
      </c>
      <c r="G9" s="65" t="s">
        <v>473</v>
      </c>
      <c r="H9" s="66" t="s"/>
      <c r="I9" s="71" t="s"/>
      <c r="J9" s="71" t="s"/>
      <c r="K9" s="66" t="s"/>
      <c r="L9" s="66" t="s">
        <v>444</v>
      </c>
      <c r="M9" s="38" t="s"/>
      <c r="N9" s="38" t="s"/>
      <c r="O9" s="51" t="s"/>
      <c r="P9" s="68" t="s">
        <v>474</v>
      </c>
      <c r="Q9" s="67" t="s">
        <v>475</v>
      </c>
      <c r="R9" s="38" t="s"/>
      <c r="S9" s="38" t="s"/>
    </row>
    <row r="10" spans="1:19" ht="66" customHeight="true">
      <c r="A10" s="62" t="s">
        <v>471</v>
      </c>
      <c r="B10" s="63" t="s">
        <v>476</v>
      </c>
      <c r="C10" s="64">
        <v>0.6</v>
      </c>
      <c r="D10" s="64">
        <v>0.7</v>
      </c>
      <c r="E10" s="64">
        <v>0.9</v>
      </c>
      <c r="F10" s="64">
        <v>1</v>
      </c>
      <c r="G10" s="65" t="s">
        <v>477</v>
      </c>
      <c r="H10" s="66" t="s"/>
      <c r="I10" s="72" t="s"/>
      <c r="J10" s="72" t="s"/>
      <c r="K10" s="66" t="s"/>
      <c r="L10" s="66" t="s">
        <v>444</v>
      </c>
      <c r="M10" s="38" t="s"/>
      <c r="N10" s="38" t="s"/>
      <c r="O10" s="38" t="s"/>
      <c r="P10" s="21" t="s">
        <v>478</v>
      </c>
      <c r="Q10" s="67" t="s">
        <v>479</v>
      </c>
      <c r="R10" s="38" t="s"/>
      <c r="S10" s="38" t="s"/>
    </row>
    <row r="11" spans="1:19">
      <c r="A11" s="62" t="s">
        <v>480</v>
      </c>
      <c r="B11" s="63" t="s">
        <v>481</v>
      </c>
      <c r="C11" s="64">
        <v>0.5</v>
      </c>
      <c r="D11" s="64">
        <v>0.7</v>
      </c>
      <c r="E11" s="64">
        <v>0.9</v>
      </c>
      <c r="F11" s="64">
        <v>1</v>
      </c>
      <c r="G11" s="65" t="s">
        <v>482</v>
      </c>
      <c r="H11" s="66" t="s">
        <v>444</v>
      </c>
      <c r="I11" s="66" t="s">
        <v>444</v>
      </c>
      <c r="J11" s="66" t="s">
        <v>444</v>
      </c>
      <c r="K11" s="66" t="s">
        <v>444</v>
      </c>
      <c r="L11" s="66" t="s">
        <v>444</v>
      </c>
      <c r="M11" s="38" t="s"/>
      <c r="N11" s="38" t="s"/>
      <c r="O11" s="38" t="s"/>
      <c r="P11" s="21" t="s">
        <v>483</v>
      </c>
      <c r="Q11" s="67" t="s">
        <v>484</v>
      </c>
      <c r="R11" s="38" t="s"/>
      <c r="S11" s="38" t="s"/>
    </row>
    <row r="12" spans="1:19">
      <c r="A12" s="62" t="s">
        <v>485</v>
      </c>
      <c r="B12" s="63" t="s">
        <v>486</v>
      </c>
      <c r="C12" s="64">
        <v>0.6</v>
      </c>
      <c r="D12" s="64">
        <v>0.7</v>
      </c>
      <c r="E12" s="64">
        <v>0.5</v>
      </c>
      <c r="F12" s="64">
        <v>1</v>
      </c>
      <c r="G12" s="65" t="s">
        <v>487</v>
      </c>
      <c r="H12" s="66" t="s">
        <v>444</v>
      </c>
      <c r="I12" s="66" t="s">
        <v>444</v>
      </c>
      <c r="J12" s="66" t="s">
        <v>444</v>
      </c>
      <c r="K12" s="66" t="s">
        <v>444</v>
      </c>
      <c r="L12" s="66" t="s">
        <v>444</v>
      </c>
      <c r="M12" s="38" t="s"/>
      <c r="N12" s="38" t="s"/>
      <c r="O12" s="38" t="s"/>
      <c r="P12" s="21" t="s">
        <v>488</v>
      </c>
      <c r="Q12" s="67" t="s">
        <v>489</v>
      </c>
      <c r="R12" s="38" t="s"/>
      <c r="S12" s="38" t="s"/>
    </row>
    <row r="13" spans="1:19">
      <c r="A13" s="62" t="s">
        <v>447</v>
      </c>
      <c r="B13" s="63" t="s">
        <v>490</v>
      </c>
      <c r="C13" s="64">
        <v>0.5</v>
      </c>
      <c r="D13" s="64">
        <v>0.7</v>
      </c>
      <c r="E13" s="64">
        <v>0.9</v>
      </c>
      <c r="F13" s="64">
        <v>1</v>
      </c>
      <c r="G13" s="65" t="s">
        <v>491</v>
      </c>
      <c r="H13" s="66" t="s">
        <v>444</v>
      </c>
      <c r="I13" s="66" t="s">
        <v>444</v>
      </c>
      <c r="J13" s="66" t="s">
        <v>444</v>
      </c>
      <c r="K13" s="66" t="s">
        <v>444</v>
      </c>
      <c r="L13" s="66" t="s">
        <v>444</v>
      </c>
      <c r="M13" s="38" t="s"/>
      <c r="N13" s="38" t="s"/>
      <c r="O13" s="38" t="s"/>
      <c r="P13" s="21" t="s">
        <v>492</v>
      </c>
      <c r="Q13" s="67" t="s">
        <v>493</v>
      </c>
      <c r="R13" s="38" t="s"/>
      <c r="S13" s="38" t="s"/>
    </row>
    <row r="14" spans="1:19">
      <c r="A14" s="62" t="s">
        <v>471</v>
      </c>
      <c r="B14" s="63" t="s">
        <v>494</v>
      </c>
      <c r="C14" s="64">
        <v>0.8</v>
      </c>
      <c r="D14" s="64">
        <v>0.8</v>
      </c>
      <c r="E14" s="64">
        <v>1</v>
      </c>
      <c r="F14" s="64">
        <v>1</v>
      </c>
      <c r="G14" s="65" t="s">
        <v>495</v>
      </c>
      <c r="H14" s="66" t="s">
        <v>444</v>
      </c>
      <c r="I14" s="66" t="s">
        <v>444</v>
      </c>
      <c r="J14" s="66" t="s">
        <v>444</v>
      </c>
      <c r="K14" s="66" t="s">
        <v>444</v>
      </c>
      <c r="L14" s="66" t="s">
        <v>444</v>
      </c>
      <c r="M14" s="38" t="s"/>
      <c r="N14" s="38" t="s"/>
      <c r="O14" s="38" t="s"/>
      <c r="P14" s="21" t="s">
        <v>496</v>
      </c>
      <c r="Q14" s="67" t="s">
        <v>497</v>
      </c>
      <c r="R14" s="38" t="s"/>
      <c r="S14" s="38" t="s"/>
    </row>
    <row r="15" spans="1:19">
      <c r="A15" s="62" t="s">
        <v>471</v>
      </c>
      <c r="B15" s="63" t="s">
        <v>498</v>
      </c>
      <c r="C15" s="64">
        <v>0.2</v>
      </c>
      <c r="D15" s="64">
        <v>0.6</v>
      </c>
      <c r="E15" s="64">
        <v>1</v>
      </c>
      <c r="F15" s="64">
        <v>1</v>
      </c>
      <c r="G15" s="65" t="s">
        <v>499</v>
      </c>
      <c r="H15" s="66" t="s">
        <v>444</v>
      </c>
      <c r="I15" s="66" t="s">
        <v>444</v>
      </c>
      <c r="J15" s="66" t="s">
        <v>444</v>
      </c>
      <c r="K15" s="66" t="s">
        <v>444</v>
      </c>
      <c r="L15" s="66" t="s">
        <v>444</v>
      </c>
      <c r="M15" s="38" t="s"/>
      <c r="N15" s="38" t="s"/>
      <c r="O15" s="38" t="s"/>
      <c r="P15" s="21" t="s">
        <v>500</v>
      </c>
      <c r="Q15" s="67" t="s">
        <v>501</v>
      </c>
      <c r="R15" s="38" t="s"/>
      <c r="S15" s="38" t="s"/>
    </row>
    <row r="16" spans="1:24" ht="177" customHeight="true">
      <c r="A16" s="62" t="s">
        <v>502</v>
      </c>
      <c r="B16" s="73" t="s">
        <v>503</v>
      </c>
      <c r="C16" s="64">
        <v>0.7</v>
      </c>
      <c r="D16" s="64">
        <v>0.7</v>
      </c>
      <c r="E16" s="64">
        <v>0.3</v>
      </c>
      <c r="F16" s="64">
        <v>1</v>
      </c>
      <c r="G16" s="38" t="s">
        <v>504</v>
      </c>
      <c r="H16" s="38" t="s">
        <v>505</v>
      </c>
      <c r="I16" s="38" t="s">
        <v>505</v>
      </c>
      <c r="J16" s="38" t="s">
        <v>505</v>
      </c>
      <c r="K16" s="66" t="s">
        <v>444</v>
      </c>
      <c r="L16" s="38" t="s">
        <v>505</v>
      </c>
      <c r="P16" s="38" t="s">
        <v>506</v>
      </c>
      <c r="Q16" s="38" t="s">
        <v>507</v>
      </c>
      <c r="X16" s="38" t="s">
        <v>508</v>
      </c>
    </row>
    <row r="17" spans="1:24" ht="98.25" customHeight="true">
      <c r="A17" s="62" t="s">
        <v>502</v>
      </c>
      <c r="B17" s="74" t="s">
        <v>313</v>
      </c>
      <c r="C17" s="64">
        <v>0.6</v>
      </c>
      <c r="D17" s="64">
        <v>0.6</v>
      </c>
      <c r="E17" s="64">
        <v>0.2</v>
      </c>
      <c r="F17" s="64">
        <v>1</v>
      </c>
      <c r="G17" s="38" t="s">
        <v>509</v>
      </c>
      <c r="H17" s="38" t="s">
        <v>505</v>
      </c>
      <c r="I17" s="38" t="s">
        <v>505</v>
      </c>
      <c r="J17" s="38" t="s">
        <v>505</v>
      </c>
      <c r="K17" s="66" t="s">
        <v>444</v>
      </c>
      <c r="L17" s="38" t="s">
        <v>505</v>
      </c>
      <c r="P17" s="38" t="s">
        <v>510</v>
      </c>
      <c r="Q17" s="38" t="s">
        <v>511</v>
      </c>
      <c r="X17" s="38" t="s">
        <v>512</v>
      </c>
    </row>
    <row r="18" spans="1:24" ht="132.75" customHeight="true">
      <c r="A18" s="62" t="s">
        <v>502</v>
      </c>
      <c r="B18" s="74" t="s">
        <v>311</v>
      </c>
      <c r="C18" s="64">
        <v>0.8</v>
      </c>
      <c r="D18" s="64">
        <v>0.8</v>
      </c>
      <c r="E18" s="64">
        <v>0.8</v>
      </c>
      <c r="F18" s="64">
        <v>1</v>
      </c>
      <c r="G18" s="38" t="s">
        <v>513</v>
      </c>
      <c r="H18" s="38" t="s">
        <v>505</v>
      </c>
      <c r="I18" s="38" t="s">
        <v>505</v>
      </c>
      <c r="J18" s="38" t="s">
        <v>505</v>
      </c>
      <c r="K18" s="66" t="s">
        <v>444</v>
      </c>
      <c r="L18" s="38" t="s">
        <v>505</v>
      </c>
      <c r="P18" s="38" t="s">
        <v>514</v>
      </c>
      <c r="Q18" s="38" t="s">
        <v>515</v>
      </c>
      <c r="X18" s="38" t="s">
        <v>516</v>
      </c>
    </row>
    <row r="19" spans="1:17">
      <c r="A19" s="75" t="s">
        <v>452</v>
      </c>
      <c r="B19" s="63" t="s">
        <v>517</v>
      </c>
      <c r="C19" s="76">
        <v>0.5</v>
      </c>
      <c r="D19" s="77">
        <v>0.8</v>
      </c>
      <c r="E19" s="77">
        <v>0.8</v>
      </c>
      <c r="F19" s="76">
        <v>1</v>
      </c>
      <c r="G19" s="38" t="s">
        <v>518</v>
      </c>
      <c r="H19" s="66" t="s">
        <v>444</v>
      </c>
      <c r="I19" s="66" t="s">
        <v>444</v>
      </c>
      <c r="J19" s="66" t="s">
        <v>444</v>
      </c>
      <c r="K19" s="66" t="s">
        <v>444</v>
      </c>
      <c r="L19" s="38" t="s">
        <v>505</v>
      </c>
      <c r="M19" s="66" t="s">
        <v>444</v>
      </c>
      <c r="P19" s="38" t="s">
        <v>519</v>
      </c>
      <c r="Q19" s="38" t="s">
        <v>520</v>
      </c>
    </row>
    <row r="20" spans="1:16" ht="75" customHeight="true">
      <c r="A20" s="75" t="s">
        <v>521</v>
      </c>
      <c r="B20" s="63" t="s">
        <v>326</v>
      </c>
      <c r="C20" s="76">
        <v>0.6</v>
      </c>
      <c r="D20" s="76">
        <v>0.7</v>
      </c>
      <c r="E20" s="76">
        <v>0.9</v>
      </c>
      <c r="F20" s="76">
        <v>1</v>
      </c>
      <c r="G20" s="38" t="s">
        <v>522</v>
      </c>
      <c r="H20" s="38" t="s">
        <v>505</v>
      </c>
      <c r="I20" s="66" t="s">
        <v>444</v>
      </c>
      <c r="J20" s="38" t="s">
        <v>505</v>
      </c>
      <c r="K20" s="38" t="s">
        <v>505</v>
      </c>
      <c r="L20" s="38" t="s">
        <v>505</v>
      </c>
      <c r="M20" s="38" t="s">
        <v>505</v>
      </c>
      <c r="P20" s="38" t="s">
        <v>523</v>
      </c>
    </row>
    <row r="21" spans="1:16" ht="114.75" customHeight="true">
      <c r="A21" s="75" t="s">
        <v>521</v>
      </c>
      <c r="B21" s="78" t="s">
        <v>524</v>
      </c>
      <c r="C21" s="76">
        <v>0.6</v>
      </c>
      <c r="D21" s="76">
        <v>0.7</v>
      </c>
      <c r="E21" s="76">
        <v>0.9</v>
      </c>
      <c r="F21" s="76">
        <v>1</v>
      </c>
      <c r="G21" s="38" t="s">
        <v>525</v>
      </c>
      <c r="H21" s="66" t="s">
        <v>444</v>
      </c>
      <c r="I21" s="66" t="s">
        <v>444</v>
      </c>
      <c r="J21" s="66" t="s">
        <v>444</v>
      </c>
      <c r="K21" s="66" t="s">
        <v>444</v>
      </c>
      <c r="L21" s="38" t="s">
        <v>505</v>
      </c>
      <c r="M21" s="38" t="s">
        <v>505</v>
      </c>
      <c r="P21" s="38" t="s">
        <v>526</v>
      </c>
    </row>
    <row r="22" spans="1:18">
      <c r="A22" s="75" t="s"/>
      <c r="B22" s="79" t="s"/>
      <c r="C22" s="80" t="s">
        <v>527</v>
      </c>
      <c r="D22" s="46" t="s"/>
      <c r="E22" s="46" t="s"/>
      <c r="F22" s="46" t="s"/>
      <c r="G22" s="46" t="s"/>
      <c r="H22" s="46" t="s"/>
      <c r="I22" s="81" t="s"/>
      <c r="J22" s="46" t="s"/>
      <c r="K22" s="46" t="s"/>
      <c r="L22" s="81" t="s"/>
      <c r="M22" s="80" t="s"/>
      <c r="N22" s="46" t="s"/>
      <c r="O22" s="81" t="s"/>
      <c r="P22" s="82" t="s"/>
      <c r="Q22" s="38" t="s"/>
      <c r="R22" s="38" t="s"/>
    </row>
    <row r="23" spans="1:18">
      <c r="A23" s="75" t="s"/>
      <c r="B23" s="79" t="s"/>
      <c r="C23" s="38" t="s"/>
      <c r="D23" s="38" t="s"/>
      <c r="E23" s="38" t="s"/>
      <c r="F23" s="38" t="s"/>
      <c r="G23" s="38" t="s"/>
      <c r="H23" s="38" t="s"/>
      <c r="I23" s="38" t="s"/>
      <c r="J23" s="38" t="s"/>
      <c r="K23" s="38" t="s"/>
      <c r="L23" s="38" t="s"/>
      <c r="M23" s="38" t="s"/>
      <c r="N23" s="38" t="s"/>
      <c r="O23" s="38" t="s"/>
      <c r="P23" s="38" t="s"/>
      <c r="Q23" s="82" t="s"/>
      <c r="R23" s="46" t="s">
        <v>528</v>
      </c>
    </row>
    <row r="24" spans="1:18">
      <c r="A24" s="75" t="s"/>
      <c r="B24" s="79" t="s"/>
      <c r="C24" s="83" t="s">
        <v>529</v>
      </c>
      <c r="D24" s="84" t="s"/>
      <c r="E24" s="84" t="s"/>
      <c r="F24" s="84" t="s"/>
      <c r="G24" s="84" t="s"/>
      <c r="H24" s="84" t="s"/>
      <c r="I24" s="81" t="s"/>
      <c r="J24" s="81" t="s"/>
      <c r="K24" s="81" t="s"/>
      <c r="L24" s="81" t="s"/>
      <c r="M24" s="83" t="s"/>
      <c r="N24" s="84" t="s"/>
      <c r="O24" s="81" t="s"/>
      <c r="P24" s="38" t="s"/>
      <c r="Q24" s="38" t="s"/>
      <c r="R24" s="38" t="s"/>
    </row>
    <row r="25" spans="1:2">
      <c r="A25" s="75" t="s"/>
      <c r="B25" s="79" t="s"/>
    </row>
    <row r="26" spans="1:2">
      <c r="A26" s="75" t="s"/>
      <c r="B26" s="79" t="s"/>
    </row>
    <row r="27" spans="1:2">
      <c r="A27" s="75" t="s"/>
      <c r="B27" s="79" t="s"/>
    </row>
    <row r="28" spans="1:2">
      <c r="A28" s="75" t="s"/>
      <c r="B28" s="79" t="s"/>
    </row>
    <row r="29" spans="1:2">
      <c r="A29" s="75" t="s"/>
      <c r="B29" s="79" t="s"/>
    </row>
    <row r="30" spans="1:2">
      <c r="A30" s="75" t="s"/>
      <c r="B30" s="79" t="s"/>
    </row>
    <row r="31" spans="1:2">
      <c r="A31" s="75" t="s"/>
      <c r="B31" s="79" t="s"/>
    </row>
    <row r="32" spans="1:2">
      <c r="A32" s="75" t="s"/>
      <c r="B32" s="79" t="s"/>
    </row>
    <row r="33" spans="1:2">
      <c r="A33" s="75" t="s"/>
      <c r="B33" s="79" t="s"/>
    </row>
    <row r="34" spans="1:2">
      <c r="A34" s="75" t="s"/>
      <c r="B34" s="79" t="s"/>
    </row>
    <row r="35" spans="1:2">
      <c r="A35" s="75" t="s"/>
      <c r="B35" s="79" t="s"/>
    </row>
    <row r="36" spans="1:2">
      <c r="A36" s="75" t="s"/>
      <c r="B36" s="79" t="s"/>
    </row>
    <row r="37" spans="1:2">
      <c r="A37" s="75" t="s"/>
      <c r="B37" s="79" t="s"/>
    </row>
    <row r="38" spans="1:2">
      <c r="A38" s="75" t="s"/>
      <c r="B38" s="79" t="s"/>
    </row>
    <row r="39" spans="1:2">
      <c r="A39" s="75" t="s"/>
      <c r="B39" s="79" t="s"/>
    </row>
    <row r="40" spans="1:2">
      <c r="A40" s="75" t="s"/>
      <c r="B40" s="79" t="s"/>
    </row>
    <row r="41" spans="1:2">
      <c r="A41" s="75" t="s"/>
      <c r="B41" s="79" t="s"/>
    </row>
    <row r="42" spans="1:2">
      <c r="A42" s="75" t="s"/>
      <c r="B42" s="79" t="s"/>
    </row>
    <row r="43" spans="1:2">
      <c r="A43" s="75" t="s"/>
      <c r="B43" s="79" t="s"/>
    </row>
    <row r="44" spans="1:2">
      <c r="A44" s="75" t="s"/>
      <c r="B44" s="79" t="s"/>
    </row>
    <row r="45" spans="1:2">
      <c r="A45" s="75" t="s"/>
      <c r="B45" s="79" t="s"/>
    </row>
    <row r="46" spans="1:2">
      <c r="A46" s="75" t="s"/>
      <c r="B46" s="79" t="s"/>
    </row>
    <row r="47" spans="1:2">
      <c r="A47" s="75" t="s"/>
      <c r="B47" s="79" t="s"/>
    </row>
    <row r="48" spans="1:2">
      <c r="A48" s="75" t="s"/>
      <c r="B48" s="79" t="s"/>
    </row>
    <row r="49" spans="1:2">
      <c r="A49" s="75" t="s"/>
      <c r="B49" s="79" t="s"/>
    </row>
    <row r="50" spans="1:2">
      <c r="A50" s="75" t="s"/>
      <c r="B50" s="79" t="s"/>
    </row>
    <row r="51" spans="1:2">
      <c r="A51" s="75" t="s"/>
      <c r="B51" s="79" t="s"/>
    </row>
    <row r="52" spans="1:2">
      <c r="A52" s="75" t="s"/>
      <c r="B52" s="79" t="s"/>
    </row>
    <row r="53" spans="1:2">
      <c r="A53" s="75" t="s"/>
      <c r="B53" s="79" t="s"/>
    </row>
    <row r="54" spans="1:2">
      <c r="A54" s="75" t="s"/>
      <c r="B54" s="79" t="s"/>
    </row>
    <row r="55" spans="1:2">
      <c r="A55" s="75" t="s"/>
      <c r="B55" s="79" t="s"/>
    </row>
    <row r="56" spans="1:2">
      <c r="A56" s="75" t="s"/>
      <c r="B56" s="79" t="s"/>
    </row>
    <row r="57" spans="1:2">
      <c r="A57" s="75" t="s"/>
      <c r="B57" s="79" t="s"/>
    </row>
    <row r="58" spans="1:2">
      <c r="A58" s="75" t="s"/>
      <c r="B58" s="79" t="s"/>
    </row>
    <row r="59" spans="1:2">
      <c r="A59" s="75" t="s"/>
      <c r="B59" s="79" t="s"/>
    </row>
    <row r="60" spans="1:2">
      <c r="A60" s="75" t="s"/>
      <c r="B60" s="79" t="s"/>
    </row>
    <row r="61" spans="1:2">
      <c r="A61" s="75" t="s"/>
      <c r="B61" s="79" t="s"/>
    </row>
    <row r="62" spans="1:2">
      <c r="A62" s="75" t="s"/>
      <c r="B62" s="79" t="s"/>
    </row>
    <row r="63" spans="1:2">
      <c r="A63" s="75" t="s"/>
      <c r="B63" s="79" t="s"/>
    </row>
    <row r="64" spans="1:2">
      <c r="A64" s="75" t="s"/>
      <c r="B64" s="79" t="s"/>
    </row>
    <row r="65" spans="1:2">
      <c r="A65" s="75" t="s"/>
      <c r="B65" s="79" t="s"/>
    </row>
    <row r="66" spans="1:2">
      <c r="A66" s="75" t="s"/>
      <c r="B66" s="79" t="s"/>
    </row>
    <row r="67" spans="1:2">
      <c r="A67" s="75" t="s"/>
      <c r="B67" s="79" t="s"/>
    </row>
    <row r="68" spans="1:2">
      <c r="A68" s="75" t="s"/>
      <c r="B68" s="79" t="s"/>
    </row>
    <row r="69" spans="1:2">
      <c r="A69" s="75" t="s"/>
      <c r="B69" s="79" t="s"/>
    </row>
    <row r="70" spans="1:2">
      <c r="A70" s="75" t="s"/>
      <c r="B70" s="79" t="s"/>
    </row>
    <row r="71" spans="1:2">
      <c r="A71" s="75" t="s"/>
      <c r="B71" s="79" t="s"/>
    </row>
    <row r="72" spans="1:2">
      <c r="A72" s="75" t="s"/>
      <c r="B72" s="79" t="s"/>
    </row>
    <row r="73" spans="1:2">
      <c r="A73" s="75" t="s"/>
      <c r="B73" s="79" t="s"/>
    </row>
    <row r="74" spans="1:2">
      <c r="A74" s="75" t="s"/>
      <c r="B74" s="79" t="s"/>
    </row>
    <row r="75" spans="1:2">
      <c r="A75" s="75" t="s"/>
      <c r="B75" s="79" t="s"/>
    </row>
    <row r="76" spans="1:2">
      <c r="A76" s="75" t="s"/>
      <c r="B76" s="79" t="s"/>
    </row>
    <row r="77" spans="1:2">
      <c r="A77" s="75" t="s"/>
      <c r="B77" s="79" t="s"/>
    </row>
    <row r="78" spans="1:2">
      <c r="A78" s="75" t="s"/>
      <c r="B78" s="79" t="s"/>
    </row>
    <row r="79" spans="1:2">
      <c r="A79" s="75" t="s"/>
      <c r="B79" s="79" t="s"/>
    </row>
    <row r="80" spans="1:2">
      <c r="A80" s="75" t="s"/>
      <c r="B80" s="79" t="s"/>
    </row>
    <row r="81" spans="1:2">
      <c r="A81" s="75" t="s"/>
      <c r="B81" s="79" t="s"/>
    </row>
    <row r="82" spans="1:2">
      <c r="A82" s="75" t="s"/>
      <c r="B82" s="79" t="s"/>
    </row>
    <row r="83" spans="1:2">
      <c r="A83" s="75" t="s"/>
      <c r="B83" s="79" t="s"/>
    </row>
    <row r="84" spans="1:2">
      <c r="A84" s="75" t="s"/>
      <c r="B84" s="79" t="s"/>
    </row>
    <row r="85" spans="1:2">
      <c r="A85" s="75" t="s"/>
      <c r="B85" s="79" t="s"/>
    </row>
    <row r="86" spans="1:2">
      <c r="A86" s="75" t="s"/>
      <c r="B86" s="79" t="s"/>
    </row>
    <row r="87" spans="1:2">
      <c r="A87" s="75" t="s"/>
      <c r="B87" s="79" t="s"/>
    </row>
    <row r="88" spans="1:2">
      <c r="A88" s="75" t="s"/>
      <c r="B88" s="79" t="s"/>
    </row>
    <row r="89" spans="1:2">
      <c r="A89" s="75" t="s"/>
      <c r="B89" s="79" t="s"/>
    </row>
    <row r="90" spans="1:2">
      <c r="A90" s="75" t="s"/>
      <c r="B90" s="79" t="s"/>
    </row>
    <row r="91" spans="1:2">
      <c r="A91" s="75" t="s"/>
      <c r="B91" s="79" t="s"/>
    </row>
    <row r="92" spans="1:2">
      <c r="A92" s="75" t="s"/>
      <c r="B92" s="79" t="s"/>
    </row>
    <row r="93" spans="1:2">
      <c r="A93" s="75" t="s"/>
      <c r="B93" s="79" t="s"/>
    </row>
    <row r="94" spans="1:2">
      <c r="A94" s="75" t="s"/>
      <c r="B94" s="79" t="s"/>
    </row>
    <row r="95" spans="1:2">
      <c r="A95" s="75" t="s"/>
      <c r="B95" s="79" t="s"/>
    </row>
    <row r="96" spans="1:2">
      <c r="A96" s="85" t="s"/>
      <c r="B96" s="86" t="s"/>
    </row>
    <row r="97" spans="1:2">
      <c r="A97" s="85" t="s"/>
      <c r="B97" s="86" t="s"/>
    </row>
    <row r="98" spans="1:2">
      <c r="A98" s="85" t="s"/>
      <c r="B98" s="86" t="s"/>
    </row>
    <row r="99" spans="1:2">
      <c r="A99" s="85" t="s"/>
      <c r="B99" s="86" t="s"/>
    </row>
    <row r="100" spans="1:2">
      <c r="A100" s="85" t="s"/>
      <c r="B100" s="86" t="s"/>
    </row>
    <row r="101" spans="1:2">
      <c r="A101" s="85" t="s"/>
      <c r="B101" s="86" t="s"/>
    </row>
    <row r="102" spans="1:2">
      <c r="A102" s="85" t="s"/>
      <c r="B102" s="86" t="s"/>
    </row>
    <row r="103" spans="1:2">
      <c r="A103" s="85" t="s"/>
      <c r="B103" s="86" t="s"/>
    </row>
    <row r="104" spans="1:2">
      <c r="A104" s="85" t="s"/>
      <c r="B104" s="86" t="s"/>
    </row>
    <row r="105" spans="1:2">
      <c r="A105" s="85" t="s"/>
      <c r="B105" s="86" t="s"/>
    </row>
  </sheetData>
  <mergeCells count="21">
    <mergeCell ref="G1:G2"/>
    <mergeCell ref="H1:H2"/>
    <mergeCell ref="I1:I2"/>
    <mergeCell ref="J1:J2"/>
    <mergeCell ref="K1:K2"/>
    <mergeCell ref="N1:N2"/>
    <mergeCell ref="P1:P2"/>
    <mergeCell ref="Q1:Q2"/>
    <mergeCell ref="R1:R2"/>
    <mergeCell ref="S1:S2"/>
    <mergeCell ref="O1:O2"/>
    <mergeCell ref="V1:V2"/>
    <mergeCell ref="W1:W2"/>
    <mergeCell ref="C1:F1"/>
    <mergeCell ref="L1:L2"/>
    <mergeCell ref="T1:U1"/>
    <mergeCell ref="B1:B2"/>
    <mergeCell ref="C22:O22"/>
    <mergeCell ref="C24:O24"/>
    <mergeCell ref="M1:M2"/>
    <mergeCell ref="A1:A2"/>
  </mergeCells>
</worksheet>
</file>

<file path=xl/worksheets/sheet2.xml><?xml version="1.0" encoding="utf-8"?>
<worksheet xmlns="http://schemas.openxmlformats.org/spreadsheetml/2006/main">
  <sheetPr codeName="数据基础调查表">
    <tabColor/>
  </sheetPr>
  <dimension ref="F9"/>
  <sheetViews>
    <sheetView showGridLines="true" workbookViewId="0"/>
  </sheetViews>
  <sheetFormatPr baseColWidth="13" defaultRowHeight="18" customHeight="true"/>
  <cols>
    <col min="1" max="1" width="22.5234" style="87" customWidth="true"/>
    <col min="2" max="2" width="14.4336" style="52" customWidth="true"/>
    <col min="3" max="3" width="25.8906" style="52" customWidth="true"/>
    <col min="4" max="4" width="25.2227" style="52" customWidth="true"/>
    <col min="5" max="5" width="24.9531" style="52" customWidth="true"/>
    <col min="6" max="6" width="22.6641" style="52" customWidth="true"/>
    <col min="7" max="28" width="13.6719" style="52"/>
  </cols>
  <sheetData>
    <row r="1" spans="1:6">
      <c r="A1" s="36" t="s">
        <v>238</v>
      </c>
      <c r="B1" s="36" t="s">
        <v>239</v>
      </c>
      <c r="C1" s="14" t="s"/>
      <c r="D1" s="36" t="s">
        <v>240</v>
      </c>
      <c r="E1" s="36" t="s">
        <v>241</v>
      </c>
      <c r="F1" s="36" t="s">
        <v>34</v>
      </c>
    </row>
    <row r="2" spans="1:6">
      <c r="A2" s="37" t="s">
        <v>242</v>
      </c>
      <c r="B2" s="38" t="s">
        <v>243</v>
      </c>
      <c r="C2" s="39" t="s">
        <v>244</v>
      </c>
      <c r="D2" s="39" t="s">
        <v>245</v>
      </c>
      <c r="E2" s="39" t="s">
        <v>246</v>
      </c>
      <c r="F2" s="38" t="s"/>
    </row>
    <row r="3" spans="1:6">
      <c r="A3" s="14" t="s"/>
      <c r="B3" s="38" t="s">
        <v>247</v>
      </c>
      <c r="C3" s="40" t="s">
        <v>248</v>
      </c>
      <c r="D3" s="39" t="s"/>
      <c r="E3" s="39" t="s"/>
      <c r="F3" s="38" t="s"/>
    </row>
    <row r="4" spans="1:6">
      <c r="A4" s="14" t="s"/>
      <c r="B4" s="38" t="s">
        <v>249</v>
      </c>
      <c r="C4" s="39" t="s">
        <v>250</v>
      </c>
      <c r="D4" s="39" t="s"/>
      <c r="E4" s="39" t="s"/>
      <c r="F4" s="38" t="s"/>
    </row>
    <row r="5" spans="1:6">
      <c r="A5" s="14" t="s"/>
      <c r="B5" s="38" t="s">
        <v>251</v>
      </c>
      <c r="C5" s="39" t="s">
        <v>252</v>
      </c>
      <c r="D5" s="39" t="s"/>
      <c r="E5" s="39" t="s"/>
      <c r="F5" s="38" t="s"/>
    </row>
    <row r="6" spans="1:6">
      <c r="A6" s="37" t="s">
        <v>253</v>
      </c>
      <c r="B6" s="38" t="s">
        <v>254</v>
      </c>
      <c r="C6" s="39" t="s">
        <v>255</v>
      </c>
      <c r="D6" s="39" t="s">
        <v>256</v>
      </c>
      <c r="E6" s="39" t="s">
        <v>257</v>
      </c>
      <c r="F6" s="39" t="s">
        <v>258</v>
      </c>
    </row>
    <row r="7" spans="1:6">
      <c r="A7" s="14" t="s"/>
      <c r="B7" s="38" t="s">
        <v>259</v>
      </c>
      <c r="C7" s="39" t="s">
        <v>260</v>
      </c>
      <c r="D7" s="39" t="s">
        <v>256</v>
      </c>
      <c r="E7" s="39" t="s">
        <v>257</v>
      </c>
      <c r="F7" s="39" t="s">
        <v>258</v>
      </c>
    </row>
    <row r="8" spans="1:6">
      <c r="A8" s="37" t="s">
        <v>261</v>
      </c>
      <c r="B8" s="38" t="s">
        <v>262</v>
      </c>
      <c r="C8" s="39" t="s">
        <v>263</v>
      </c>
      <c r="D8" s="39" t="s"/>
      <c r="E8" s="39" t="s"/>
      <c r="F8" s="39" t="s">
        <v>264</v>
      </c>
    </row>
    <row r="9" spans="1:6">
      <c r="A9" s="14" t="s"/>
      <c r="B9" s="38" t="s">
        <v>265</v>
      </c>
      <c r="C9" s="39" t="s">
        <v>266</v>
      </c>
      <c r="D9" s="39" t="s">
        <v>267</v>
      </c>
      <c r="E9" s="39" t="s">
        <v>268</v>
      </c>
      <c r="F9" s="39" t="s">
        <v>258</v>
      </c>
    </row>
  </sheetData>
  <mergeCells count="4">
    <mergeCell ref="B1:C1"/>
    <mergeCell ref="A6:A7"/>
    <mergeCell ref="A8:A9"/>
    <mergeCell ref="A2:A5"/>
  </mergeCells>
</worksheet>
</file>

<file path=xl/worksheets/sheet3.xml><?xml version="1.0" encoding="utf-8"?>
<worksheet xmlns="http://schemas.openxmlformats.org/spreadsheetml/2006/main">
  <sheetPr codeName="工程师工作项">
    <tabColor/>
  </sheetPr>
  <dimension ref="A40"/>
  <sheetViews>
    <sheetView showGridLines="true" workbookViewId="0"/>
  </sheetViews>
  <sheetFormatPr baseColWidth="13" defaultRowHeight="18" customHeight="true"/>
  <cols>
    <col min="1" max="1" width="13.6719" style="52"/>
    <col min="2" max="2" width="23.2031" style="52" customWidth="true"/>
    <col min="3" max="3" width="32.3711" style="52" customWidth="true"/>
    <col min="4" max="4" width="22.9336" style="52" customWidth="true"/>
    <col min="5" max="5" width="76.3438" style="52" customWidth="true"/>
    <col min="6" max="6" width="42.8906" style="52" customWidth="true"/>
    <col min="7" max="26" width="13.6719" style="52"/>
  </cols>
  <sheetData>
    <row r="1" spans="1:6">
      <c r="A1" s="46" t="s">
        <v>352</v>
      </c>
      <c r="B1" s="46" t="s">
        <v>353</v>
      </c>
      <c r="C1" s="46" t="s">
        <v>354</v>
      </c>
      <c r="D1" s="46" t="s">
        <v>355</v>
      </c>
      <c r="E1" s="46" t="s">
        <v>356</v>
      </c>
      <c r="F1" s="46" t="s">
        <v>357</v>
      </c>
    </row>
    <row r="2" spans="1:6" ht="25.5" customHeight="true">
      <c r="A2" s="38" t="s">
        <v>28</v>
      </c>
      <c r="B2" s="38" t="s">
        <v>358</v>
      </c>
      <c r="C2" s="38" t="s">
        <v>359</v>
      </c>
      <c r="D2" s="38" t="s">
        <v>360</v>
      </c>
      <c r="E2" s="38" t="s">
        <v>361</v>
      </c>
      <c r="F2" s="47" t="s">
        <v>362</v>
      </c>
    </row>
    <row r="3" spans="1:6" ht="38.25" customHeight="true">
      <c r="A3" s="38" t="s"/>
      <c r="B3" s="38" t="s"/>
      <c r="C3" s="14" t="s"/>
      <c r="D3" s="38" t="s">
        <v>363</v>
      </c>
      <c r="E3" s="38" t="s">
        <v>364</v>
      </c>
      <c r="F3" s="48" t="s">
        <v>362</v>
      </c>
    </row>
    <row r="4" spans="1:6" ht="38.25" customHeight="true">
      <c r="A4" s="14" t="s"/>
      <c r="B4" s="14" t="s"/>
      <c r="C4" s="38" t="s">
        <v>365</v>
      </c>
      <c r="D4" s="38" t="s">
        <v>366</v>
      </c>
      <c r="E4" s="38" t="s">
        <v>367</v>
      </c>
      <c r="F4" s="48" t="s">
        <v>362</v>
      </c>
    </row>
    <row r="5" spans="1:6" ht="38.25" customHeight="true">
      <c r="A5" s="14" t="s"/>
      <c r="B5" s="14" t="s"/>
      <c r="C5" s="14" t="s"/>
      <c r="D5" s="38" t="s">
        <v>368</v>
      </c>
      <c r="E5" s="38" t="s">
        <v>369</v>
      </c>
      <c r="F5" s="48" t="s">
        <v>362</v>
      </c>
    </row>
    <row r="6" spans="1:6" ht="38.25" customHeight="true">
      <c r="A6" s="14" t="s"/>
      <c r="B6" s="14" t="s"/>
      <c r="C6" s="14" t="s"/>
      <c r="D6" s="38" t="s">
        <v>370</v>
      </c>
      <c r="E6" s="38" t="s">
        <v>371</v>
      </c>
      <c r="F6" s="38" t="s">
        <v>372</v>
      </c>
    </row>
    <row r="7" spans="1:6">
      <c r="A7" s="14" t="s"/>
      <c r="B7" s="14" t="s"/>
      <c r="C7" s="14" t="s"/>
      <c r="D7" s="38" t="s">
        <v>373</v>
      </c>
      <c r="E7" s="38" t="s">
        <v>374</v>
      </c>
      <c r="F7" s="38" t="s">
        <v>375</v>
      </c>
    </row>
    <row r="8" spans="1:6">
      <c r="A8" s="14" t="s"/>
      <c r="B8" s="14" t="s"/>
      <c r="C8" s="14" t="s"/>
      <c r="D8" s="38" t="s">
        <v>56</v>
      </c>
      <c r="E8" s="38" t="s">
        <v>376</v>
      </c>
      <c r="F8" s="38" t="s">
        <v>377</v>
      </c>
    </row>
    <row r="9" spans="1:6" ht="26.25" customHeight="true">
      <c r="A9" s="38" t="s">
        <v>29</v>
      </c>
      <c r="B9" s="38" t="s">
        <v>378</v>
      </c>
      <c r="C9" s="38" t="s">
        <v>379</v>
      </c>
      <c r="D9" s="38" t="s">
        <v>360</v>
      </c>
      <c r="E9" s="38" t="s">
        <v>380</v>
      </c>
      <c r="F9" s="48" t="s">
        <v>362</v>
      </c>
    </row>
    <row r="10" spans="1:6">
      <c r="A10" s="14" t="s"/>
      <c r="B10" s="14" t="s"/>
      <c r="C10" s="38" t="s"/>
      <c r="D10" s="38" t="s">
        <v>363</v>
      </c>
      <c r="E10" s="38" t="s">
        <v>381</v>
      </c>
      <c r="F10" s="48" t="s">
        <v>362</v>
      </c>
    </row>
    <row r="11" spans="1:6">
      <c r="A11" s="14" t="s"/>
      <c r="B11" s="14" t="s"/>
      <c r="C11" s="38" t="s"/>
      <c r="D11" s="38" t="s">
        <v>382</v>
      </c>
      <c r="E11" s="38" t="s">
        <v>383</v>
      </c>
      <c r="F11" s="48" t="s">
        <v>362</v>
      </c>
    </row>
    <row r="12" spans="1:6" ht="38.25" customHeight="true">
      <c r="A12" s="14" t="s"/>
      <c r="B12" s="14" t="s"/>
      <c r="C12" s="38" t="s">
        <v>365</v>
      </c>
      <c r="D12" s="38" t="s">
        <v>366</v>
      </c>
      <c r="E12" s="38" t="s">
        <v>384</v>
      </c>
      <c r="F12" s="48" t="s">
        <v>362</v>
      </c>
    </row>
    <row r="13" spans="1:6">
      <c r="A13" s="14" t="s"/>
      <c r="B13" s="14" t="s"/>
      <c r="C13" s="38" t="s"/>
      <c r="D13" s="38" t="s">
        <v>385</v>
      </c>
      <c r="E13" s="49" t="s">
        <v>386</v>
      </c>
      <c r="F13" s="48" t="s">
        <v>362</v>
      </c>
    </row>
    <row r="14" spans="1:6">
      <c r="A14" s="38" t="s"/>
      <c r="B14" s="38" t="s"/>
      <c r="C14" s="38" t="s"/>
      <c r="D14" s="38" t="s">
        <v>387</v>
      </c>
      <c r="E14" s="38" t="s">
        <v>388</v>
      </c>
      <c r="F14" s="48" t="s">
        <v>362</v>
      </c>
    </row>
    <row r="15" spans="1:6" ht="51.75" customHeight="true">
      <c r="A15" s="38" t="s"/>
      <c r="B15" s="38" t="s"/>
      <c r="C15" s="38" t="s"/>
      <c r="D15" s="38" t="s">
        <v>389</v>
      </c>
      <c r="E15" s="38" t="s">
        <v>390</v>
      </c>
      <c r="F15" s="38" t="s">
        <v>391</v>
      </c>
    </row>
    <row r="16" spans="1:6" ht="38.25" customHeight="true">
      <c r="A16" s="50" t="s"/>
      <c r="B16" s="50" t="s"/>
      <c r="C16" s="50" t="s"/>
      <c r="D16" s="50" t="s">
        <v>392</v>
      </c>
      <c r="E16" s="50" t="s">
        <v>393</v>
      </c>
      <c r="F16" s="48" t="s">
        <v>362</v>
      </c>
    </row>
    <row r="17" spans="1:6" ht="24" customHeight="true">
      <c r="A17" s="38" t="s">
        <v>31</v>
      </c>
      <c r="B17" s="38" t="s">
        <v>394</v>
      </c>
      <c r="C17" s="50" t="s">
        <v>379</v>
      </c>
      <c r="D17" s="38" t="s">
        <v>360</v>
      </c>
      <c r="E17" s="38" t="s">
        <v>380</v>
      </c>
      <c r="F17" s="48" t="s">
        <v>362</v>
      </c>
    </row>
    <row r="18" spans="1:6" ht="25.5" customHeight="true">
      <c r="A18" s="14" t="s"/>
      <c r="B18" s="14" t="s"/>
      <c r="C18" s="28" t="s"/>
      <c r="D18" s="38" t="s">
        <v>363</v>
      </c>
      <c r="E18" s="38" t="s">
        <v>395</v>
      </c>
      <c r="F18" s="51" t="s">
        <v>396</v>
      </c>
    </row>
    <row r="19" spans="1:6">
      <c r="A19" s="14" t="s"/>
      <c r="B19" s="14" t="s"/>
      <c r="C19" s="50" t="s">
        <v>365</v>
      </c>
      <c r="D19" s="52" t="s">
        <v>397</v>
      </c>
      <c r="E19" s="52" t="s">
        <v>398</v>
      </c>
      <c r="F19" s="48" t="s">
        <v>362</v>
      </c>
    </row>
    <row r="20" spans="1:6">
      <c r="A20" s="14" t="s"/>
      <c r="B20" s="14" t="s"/>
      <c r="C20" s="27" t="s"/>
      <c r="D20" s="38" t="s">
        <v>399</v>
      </c>
      <c r="E20" s="38" t="s">
        <v>400</v>
      </c>
      <c r="F20" s="48" t="s">
        <v>362</v>
      </c>
    </row>
    <row r="21" spans="1:6">
      <c r="A21" s="38" t="s"/>
      <c r="B21" s="38" t="s"/>
      <c r="C21" s="53" t="s"/>
      <c r="D21" s="38" t="s">
        <v>401</v>
      </c>
      <c r="E21" s="38" t="s">
        <v>402</v>
      </c>
      <c r="F21" s="38" t="s"/>
    </row>
    <row r="22" spans="1:6">
      <c r="A22" s="38" t="s"/>
      <c r="B22" s="38" t="s"/>
      <c r="C22" s="27" t="s"/>
      <c r="D22" s="38" t="s">
        <v>366</v>
      </c>
      <c r="E22" s="38" t="s">
        <v>403</v>
      </c>
      <c r="F22" s="48" t="s">
        <v>362</v>
      </c>
    </row>
    <row r="23" spans="1:6">
      <c r="A23" s="38" t="s"/>
      <c r="B23" s="38" t="s"/>
      <c r="C23" s="53" t="s"/>
      <c r="D23" s="38" t="s">
        <v>404</v>
      </c>
      <c r="E23" s="38" t="s">
        <v>405</v>
      </c>
      <c r="F23" s="48" t="s">
        <v>362</v>
      </c>
    </row>
    <row r="24" spans="1:6">
      <c r="A24" s="38" t="s"/>
      <c r="B24" s="38" t="s"/>
      <c r="C24" s="53" t="s"/>
      <c r="D24" s="38" t="s">
        <v>406</v>
      </c>
      <c r="E24" s="38" t="s">
        <v>407</v>
      </c>
      <c r="F24" s="48" t="s">
        <v>362</v>
      </c>
    </row>
    <row r="25" spans="1:6">
      <c r="A25" s="38" t="s"/>
      <c r="B25" s="38" t="s"/>
      <c r="C25" s="53" t="s"/>
      <c r="D25" s="38" t="s">
        <v>408</v>
      </c>
      <c r="E25" s="38" t="s">
        <v>409</v>
      </c>
      <c r="F25" s="48" t="s">
        <v>362</v>
      </c>
    </row>
    <row r="26" spans="1:6">
      <c r="A26" s="14" t="s"/>
      <c r="B26" s="14" t="s"/>
      <c r="C26" s="28" t="s"/>
      <c r="D26" s="38" t="s">
        <v>410</v>
      </c>
      <c r="E26" s="38" t="s">
        <v>411</v>
      </c>
      <c r="F26" s="48" t="s">
        <v>362</v>
      </c>
    </row>
    <row r="27" spans="1:6">
      <c r="A27" s="38" t="s">
        <v>30</v>
      </c>
      <c r="B27" s="38" t="s">
        <v>412</v>
      </c>
      <c r="C27" s="38" t="s">
        <v>413</v>
      </c>
      <c r="D27" s="38" t="s">
        <v>360</v>
      </c>
      <c r="E27" s="38" t="s">
        <v>380</v>
      </c>
      <c r="F27" s="48" t="s">
        <v>362</v>
      </c>
    </row>
    <row r="28" spans="1:6">
      <c r="A28" s="14" t="s"/>
      <c r="B28" s="14" t="s"/>
      <c r="C28" s="14" t="s"/>
      <c r="D28" s="38" t="s">
        <v>363</v>
      </c>
      <c r="E28" s="38" t="s">
        <v>414</v>
      </c>
      <c r="F28" s="51" t="s">
        <v>415</v>
      </c>
    </row>
    <row r="29" spans="1:6">
      <c r="A29" s="14" t="s"/>
      <c r="B29" s="14" t="s"/>
      <c r="C29" s="38" t="s">
        <v>365</v>
      </c>
      <c r="D29" s="38" t="s">
        <v>399</v>
      </c>
      <c r="E29" s="38" t="s">
        <v>416</v>
      </c>
      <c r="F29" s="48" t="s">
        <v>362</v>
      </c>
    </row>
    <row r="30" spans="1:6">
      <c r="A30" s="14" t="s"/>
      <c r="B30" s="14" t="s"/>
      <c r="C30" s="14" t="s"/>
      <c r="D30" s="38" t="s">
        <v>401</v>
      </c>
      <c r="E30" s="38" t="s">
        <v>417</v>
      </c>
      <c r="F30" s="48" t="s">
        <v>362</v>
      </c>
    </row>
    <row r="31" spans="1:6" ht="25.5" customHeight="true">
      <c r="A31" s="14" t="s"/>
      <c r="B31" s="14" t="s"/>
      <c r="C31" s="14" t="s"/>
      <c r="D31" s="38" t="s">
        <v>404</v>
      </c>
      <c r="E31" s="38" t="s">
        <v>418</v>
      </c>
      <c r="F31" s="48" t="s">
        <v>362</v>
      </c>
    </row>
    <row r="32" spans="1:6">
      <c r="A32" s="14" t="s"/>
      <c r="B32" s="14" t="s"/>
      <c r="C32" s="14" t="s"/>
      <c r="D32" s="38" t="s">
        <v>406</v>
      </c>
      <c r="E32" s="38" t="s">
        <v>419</v>
      </c>
      <c r="F32" s="48" t="s">
        <v>362</v>
      </c>
    </row>
    <row r="33" spans="1:6">
      <c r="A33" s="14" t="s"/>
      <c r="B33" s="14" t="s"/>
      <c r="C33" s="14" t="s"/>
      <c r="D33" s="38" t="s">
        <v>408</v>
      </c>
      <c r="E33" s="38" t="s">
        <v>420</v>
      </c>
      <c r="F33" s="48" t="s">
        <v>362</v>
      </c>
    </row>
    <row r="34" spans="1:6" ht="25.5" customHeight="true">
      <c r="A34" s="14" t="s"/>
      <c r="B34" s="14" t="s"/>
      <c r="C34" s="14" t="s"/>
      <c r="D34" s="38" t="s">
        <v>421</v>
      </c>
      <c r="E34" s="38" t="s">
        <v>422</v>
      </c>
      <c r="F34" s="48" t="s">
        <v>362</v>
      </c>
    </row>
    <row r="35" spans="1:6">
      <c r="A35" s="14" t="s"/>
      <c r="B35" s="14" t="s"/>
      <c r="C35" s="14" t="s"/>
      <c r="D35" s="38" t="s">
        <v>423</v>
      </c>
      <c r="E35" s="38" t="s">
        <v>424</v>
      </c>
      <c r="F35" s="48" t="s">
        <v>362</v>
      </c>
    </row>
    <row r="38" spans="1:1">
      <c r="A38" s="52" t="s"/>
    </row>
    <row r="40" spans="1:1">
      <c r="A40" s="52" t="s"/>
    </row>
  </sheetData>
  <mergeCells count="16">
    <mergeCell ref="C4:C8"/>
    <mergeCell ref="C2:C3"/>
    <mergeCell ref="B2:B8"/>
    <mergeCell ref="A2:A8"/>
    <mergeCell ref="C9:C11"/>
    <mergeCell ref="C12:C16"/>
    <mergeCell ref="A9:A16"/>
    <mergeCell ref="B9:B16"/>
    <mergeCell ref="C17:C18"/>
    <mergeCell ref="A27:A35"/>
    <mergeCell ref="B27:B35"/>
    <mergeCell ref="C29:C35"/>
    <mergeCell ref="C27:C28"/>
    <mergeCell ref="A17:A26"/>
    <mergeCell ref="B17:B26"/>
    <mergeCell ref="C19:C26"/>
  </mergeCells>
</worksheet>
</file>

<file path=xl/worksheets/sheet4.xml><?xml version="1.0" encoding="utf-8"?>
<worksheet xmlns="http://schemas.openxmlformats.org/spreadsheetml/2006/main">
  <sheetPr codeName="组件完成情况统计"/>
  <dimension ref="F78"/>
  <sheetViews>
    <sheetView showGridLines="true" workbookViewId="0"/>
  </sheetViews>
  <sheetFormatPr baseColWidth="13" defaultRowHeight="18" customHeight="true"/>
  <cols>
    <col min="1" max="1" width="5.53125" customWidth="true"/>
    <col min="2" max="2" width="31.7109" customWidth="true"/>
    <col min="3" max="3" width="42.7109" customWidth="true"/>
    <col min="6" max="6" width="23.7422" customWidth="true"/>
  </cols>
  <sheetData>
    <row r="1" spans="1:5">
      <c r="A1" s="15" t="s"/>
      <c r="B1" s="15" t="s"/>
      <c r="C1" s="15" t="s"/>
      <c r="D1" s="15" t="s"/>
      <c r="E1" s="15" t="s"/>
    </row>
    <row r="2" spans="1:6">
      <c r="A2" s="16" t="s">
        <v>73</v>
      </c>
      <c r="B2" s="17" t="s">
        <v>74</v>
      </c>
      <c r="C2" s="16" t="s">
        <v>75</v>
      </c>
      <c r="D2" s="16" t="s">
        <v>76</v>
      </c>
      <c r="E2" s="16" t="s">
        <v>77</v>
      </c>
      <c r="F2" s="16" t="s">
        <v>78</v>
      </c>
    </row>
    <row r="3" spans="1:6">
      <c r="A3" s="18" t="s">
        <v>79</v>
      </c>
      <c r="B3" s="19" t="s">
        <v>80</v>
      </c>
      <c r="C3" s="20" t="s">
        <v>81</v>
      </c>
      <c r="D3" s="21" t="s">
        <v>82</v>
      </c>
      <c r="E3" s="14" t="s"/>
      <c r="F3" s="14" t="s"/>
    </row>
    <row r="4" spans="1:6">
      <c r="A4" s="18" t="s">
        <v>87</v>
      </c>
      <c r="B4" s="23" t="s"/>
      <c r="C4" s="20" t="s">
        <v>88</v>
      </c>
      <c r="D4" s="21" t="s">
        <v>82</v>
      </c>
      <c r="E4" s="14" t="s"/>
      <c r="F4" s="14" t="s"/>
    </row>
    <row r="5" spans="1:6">
      <c r="A5" s="18" t="s">
        <v>91</v>
      </c>
      <c r="B5" s="19" t="s">
        <v>92</v>
      </c>
      <c r="C5" s="20" t="s">
        <v>93</v>
      </c>
      <c r="D5" s="14" t="s"/>
      <c r="E5" s="21" t="s">
        <v>86</v>
      </c>
      <c r="F5" s="25">
        <v>6</v>
      </c>
    </row>
    <row r="6" spans="1:6">
      <c r="A6" s="18" t="s">
        <v>96</v>
      </c>
      <c r="B6" s="23" t="s"/>
      <c r="C6" s="20" t="s">
        <v>97</v>
      </c>
      <c r="D6" s="14" t="s"/>
      <c r="E6" s="21" t="s">
        <v>86</v>
      </c>
      <c r="F6" s="27" t="s"/>
    </row>
    <row r="7" spans="1:6">
      <c r="A7" s="18" t="s">
        <v>100</v>
      </c>
      <c r="B7" s="23" t="s"/>
      <c r="C7" s="20" t="s">
        <v>101</v>
      </c>
      <c r="D7" s="14" t="s"/>
      <c r="E7" s="21" t="s">
        <v>86</v>
      </c>
      <c r="F7" s="27" t="s"/>
    </row>
    <row r="8" spans="1:6">
      <c r="A8" s="18" t="s">
        <v>104</v>
      </c>
      <c r="B8" s="23" t="s"/>
      <c r="C8" s="20" t="s">
        <v>105</v>
      </c>
      <c r="D8" s="14" t="s"/>
      <c r="E8" s="21" t="s">
        <v>86</v>
      </c>
      <c r="F8" s="27" t="s"/>
    </row>
    <row r="9" spans="1:6">
      <c r="A9" s="18" t="s">
        <v>109</v>
      </c>
      <c r="B9" s="23" t="s"/>
      <c r="C9" s="20" t="s">
        <v>110</v>
      </c>
      <c r="D9" s="14" t="s"/>
      <c r="E9" s="21" t="s">
        <v>86</v>
      </c>
      <c r="F9" s="27" t="s"/>
    </row>
    <row r="10" spans="1:6">
      <c r="A10" s="18" t="s">
        <v>113</v>
      </c>
      <c r="B10" s="23" t="s"/>
      <c r="C10" s="20" t="s">
        <v>114</v>
      </c>
      <c r="D10" s="14" t="s"/>
      <c r="E10" s="21" t="s">
        <v>86</v>
      </c>
      <c r="F10" s="30" t="s"/>
    </row>
    <row r="11" spans="1:6">
      <c r="A11" s="18" t="s">
        <v>117</v>
      </c>
      <c r="B11" s="23" t="s"/>
      <c r="C11" s="20" t="s">
        <v>118</v>
      </c>
      <c r="D11" s="14" t="s"/>
      <c r="E11" s="21" t="s">
        <v>86</v>
      </c>
      <c r="F11" s="14">
        <v>3</v>
      </c>
    </row>
    <row r="12" spans="1:6">
      <c r="A12" s="18" t="s">
        <v>83</v>
      </c>
      <c r="B12" s="19" t="s">
        <v>84</v>
      </c>
      <c r="C12" s="20" t="s">
        <v>85</v>
      </c>
      <c r="D12" s="14" t="s"/>
      <c r="E12" s="21" t="s">
        <v>86</v>
      </c>
      <c r="F12" s="25">
        <v>10</v>
      </c>
    </row>
    <row r="13" spans="1:6">
      <c r="A13" s="18" t="s">
        <v>89</v>
      </c>
      <c r="B13" s="23" t="s"/>
      <c r="C13" s="20" t="s">
        <v>90</v>
      </c>
      <c r="D13" s="14" t="s"/>
      <c r="E13" s="21" t="s">
        <v>86</v>
      </c>
      <c r="F13" s="27" t="s"/>
    </row>
    <row r="14" spans="1:6">
      <c r="A14" s="18" t="s">
        <v>94</v>
      </c>
      <c r="B14" s="23" t="s"/>
      <c r="C14" s="20" t="s">
        <v>95</v>
      </c>
      <c r="D14" s="14" t="s"/>
      <c r="E14" s="21" t="s">
        <v>86</v>
      </c>
      <c r="F14" s="27" t="s"/>
    </row>
    <row r="15" spans="1:6">
      <c r="A15" s="18" t="s">
        <v>98</v>
      </c>
      <c r="B15" s="23" t="s"/>
      <c r="C15" s="20" t="s">
        <v>99</v>
      </c>
      <c r="D15" s="14" t="s"/>
      <c r="E15" s="21" t="s">
        <v>86</v>
      </c>
      <c r="F15" s="27" t="s"/>
    </row>
    <row r="16" spans="1:6">
      <c r="A16" s="18" t="s">
        <v>102</v>
      </c>
      <c r="B16" s="23" t="s"/>
      <c r="C16" s="20" t="s">
        <v>103</v>
      </c>
      <c r="D16" s="14" t="s"/>
      <c r="E16" s="21" t="s">
        <v>86</v>
      </c>
      <c r="F16" s="28" t="s"/>
    </row>
    <row r="17" spans="1:6">
      <c r="A17" s="18" t="s">
        <v>106</v>
      </c>
      <c r="B17" s="19" t="s">
        <v>107</v>
      </c>
      <c r="C17" s="20" t="s">
        <v>108</v>
      </c>
      <c r="D17" s="14" t="s"/>
      <c r="E17" s="21" t="s">
        <v>86</v>
      </c>
      <c r="F17" s="25">
        <v>18</v>
      </c>
    </row>
    <row r="18" spans="1:6">
      <c r="A18" s="18" t="s">
        <v>111</v>
      </c>
      <c r="B18" s="23" t="s"/>
      <c r="C18" s="20" t="s">
        <v>112</v>
      </c>
      <c r="D18" s="14" t="s"/>
      <c r="E18" s="21" t="s">
        <v>86</v>
      </c>
      <c r="F18" s="27" t="s"/>
    </row>
    <row r="19" spans="1:6">
      <c r="A19" s="18" t="s">
        <v>115</v>
      </c>
      <c r="B19" s="23" t="s"/>
      <c r="C19" s="20" t="s">
        <v>116</v>
      </c>
      <c r="D19" s="14" t="s"/>
      <c r="E19" s="21" t="s">
        <v>86</v>
      </c>
      <c r="F19" s="27" t="s"/>
    </row>
    <row r="20" spans="1:6">
      <c r="A20" s="18" t="s">
        <v>119</v>
      </c>
      <c r="B20" s="23" t="s"/>
      <c r="C20" s="20" t="s">
        <v>120</v>
      </c>
      <c r="D20" s="14" t="s"/>
      <c r="E20" s="21" t="s">
        <v>86</v>
      </c>
      <c r="F20" s="28" t="s"/>
    </row>
    <row r="21" spans="1:6">
      <c r="A21" s="18" t="s">
        <v>121</v>
      </c>
      <c r="B21" s="19" t="s">
        <v>122</v>
      </c>
      <c r="C21" s="32" t="s">
        <v>123</v>
      </c>
      <c r="D21" s="21" t="s">
        <v>82</v>
      </c>
      <c r="E21" s="14" t="s"/>
      <c r="F21" s="14" t="s"/>
    </row>
    <row r="22" spans="1:6">
      <c r="A22" s="18" t="s">
        <v>126</v>
      </c>
      <c r="B22" s="23" t="s"/>
      <c r="C22" s="32" t="s">
        <v>127</v>
      </c>
      <c r="D22" s="21" t="s">
        <v>82</v>
      </c>
      <c r="E22" s="14" t="s"/>
      <c r="F22" s="14" t="s"/>
    </row>
    <row r="23" spans="1:6">
      <c r="A23" s="18" t="s">
        <v>129</v>
      </c>
      <c r="B23" s="23" t="s"/>
      <c r="C23" s="32" t="s">
        <v>130</v>
      </c>
      <c r="D23" s="21" t="s">
        <v>82</v>
      </c>
      <c r="E23" s="14" t="s"/>
      <c r="F23" s="14" t="s"/>
    </row>
    <row r="24" spans="1:6">
      <c r="A24" s="18" t="s">
        <v>132</v>
      </c>
      <c r="B24" s="19" t="s">
        <v>133</v>
      </c>
      <c r="C24" s="20" t="s">
        <v>134</v>
      </c>
      <c r="D24" s="21" t="s">
        <v>82</v>
      </c>
      <c r="E24" s="14" t="s"/>
      <c r="F24" s="14" t="s"/>
    </row>
    <row r="25" spans="1:6">
      <c r="A25" s="18" t="s">
        <v>136</v>
      </c>
      <c r="B25" s="23" t="s"/>
      <c r="C25" s="20" t="s">
        <v>90</v>
      </c>
      <c r="D25" s="21" t="s">
        <v>82</v>
      </c>
      <c r="E25" s="14" t="s"/>
      <c r="F25" s="14" t="s"/>
    </row>
    <row r="26" spans="1:6">
      <c r="A26" s="18" t="s">
        <v>138</v>
      </c>
      <c r="B26" s="23" t="s"/>
      <c r="C26" s="20" t="s">
        <v>99</v>
      </c>
      <c r="D26" s="14" t="s"/>
      <c r="E26" s="21" t="s">
        <v>86</v>
      </c>
      <c r="F26" s="14">
        <v>0.5</v>
      </c>
    </row>
    <row r="27" spans="1:6">
      <c r="A27" s="18" t="s">
        <v>140</v>
      </c>
      <c r="B27" s="23" t="s"/>
      <c r="C27" s="20" t="s">
        <v>141</v>
      </c>
      <c r="D27" s="14" t="s"/>
      <c r="E27" s="21" t="s">
        <v>86</v>
      </c>
      <c r="F27" s="14">
        <v>0.5</v>
      </c>
    </row>
    <row r="28" spans="1:6">
      <c r="A28" s="18" t="s">
        <v>143</v>
      </c>
      <c r="B28" s="19" t="s">
        <v>144</v>
      </c>
      <c r="C28" s="20" t="s">
        <v>145</v>
      </c>
      <c r="D28" s="21" t="s">
        <v>82</v>
      </c>
      <c r="E28" s="14" t="s"/>
      <c r="F28" s="14" t="s"/>
    </row>
    <row r="29" spans="1:6">
      <c r="A29" s="18" t="s">
        <v>147</v>
      </c>
      <c r="B29" s="23" t="s"/>
      <c r="C29" s="20" t="s">
        <v>148</v>
      </c>
      <c r="D29" s="21" t="s">
        <v>82</v>
      </c>
      <c r="E29" s="14" t="s"/>
      <c r="F29" s="14" t="s"/>
    </row>
    <row r="30" spans="1:6">
      <c r="A30" s="18" t="s">
        <v>150</v>
      </c>
      <c r="B30" s="23" t="s"/>
      <c r="C30" s="20" t="s">
        <v>151</v>
      </c>
      <c r="D30" s="21" t="s">
        <v>82</v>
      </c>
      <c r="E30" s="14" t="s"/>
      <c r="F30" s="14" t="s"/>
    </row>
    <row r="31" spans="1:6">
      <c r="A31" s="18" t="s">
        <v>153</v>
      </c>
      <c r="B31" s="23" t="s"/>
      <c r="C31" s="20" t="s">
        <v>154</v>
      </c>
      <c r="D31" s="21" t="s"/>
      <c r="E31" s="21" t="s">
        <v>86</v>
      </c>
      <c r="F31" s="14">
        <v>5</v>
      </c>
    </row>
    <row r="32" spans="1:6">
      <c r="A32" s="18" t="s">
        <v>156</v>
      </c>
      <c r="B32" s="23" t="s"/>
      <c r="C32" s="20" t="s">
        <v>157</v>
      </c>
      <c r="D32" s="21" t="s">
        <v>82</v>
      </c>
      <c r="E32" s="14" t="s"/>
      <c r="F32" s="14" t="s"/>
    </row>
    <row r="33" spans="1:6">
      <c r="A33" s="18" t="s">
        <v>158</v>
      </c>
      <c r="B33" s="23" t="s"/>
      <c r="C33" s="20" t="s">
        <v>159</v>
      </c>
      <c r="D33" s="21" t="s">
        <v>82</v>
      </c>
      <c r="E33" s="14" t="s"/>
      <c r="F33" s="14" t="s"/>
    </row>
    <row r="34" spans="1:6">
      <c r="A34" s="18" t="s">
        <v>162</v>
      </c>
      <c r="B34" s="23" t="s"/>
      <c r="C34" s="20" t="s">
        <v>163</v>
      </c>
      <c r="D34" s="21" t="s">
        <v>82</v>
      </c>
      <c r="E34" s="14" t="s"/>
      <c r="F34" s="14" t="s"/>
    </row>
    <row r="35" spans="1:6">
      <c r="A35" s="18" t="s">
        <v>168</v>
      </c>
      <c r="B35" s="19" t="s">
        <v>124</v>
      </c>
      <c r="C35" s="20" t="s">
        <v>125</v>
      </c>
      <c r="D35" s="14" t="s"/>
      <c r="E35" s="21" t="s">
        <v>86</v>
      </c>
      <c r="F35" s="25">
        <v>10</v>
      </c>
    </row>
    <row r="36" spans="1:6">
      <c r="A36" s="18" t="s">
        <v>172</v>
      </c>
      <c r="B36" s="23" t="s"/>
      <c r="C36" s="20" t="s">
        <v>128</v>
      </c>
      <c r="D36" s="14" t="s"/>
      <c r="E36" s="21" t="s">
        <v>86</v>
      </c>
      <c r="F36" s="27" t="s"/>
    </row>
    <row r="37" spans="1:6">
      <c r="A37" s="18" t="s">
        <v>175</v>
      </c>
      <c r="B37" s="23" t="s"/>
      <c r="C37" s="20" t="s">
        <v>131</v>
      </c>
      <c r="D37" s="14" t="s"/>
      <c r="E37" s="21" t="s">
        <v>86</v>
      </c>
      <c r="F37" s="27" t="s"/>
    </row>
    <row r="38" spans="1:6">
      <c r="A38" s="18" t="s">
        <v>179</v>
      </c>
      <c r="B38" s="23" t="s"/>
      <c r="C38" s="20" t="s">
        <v>135</v>
      </c>
      <c r="D38" s="14" t="s"/>
      <c r="E38" s="21" t="s">
        <v>86</v>
      </c>
      <c r="F38" s="27" t="s"/>
    </row>
    <row r="39" spans="1:6">
      <c r="A39" s="18" t="s">
        <v>182</v>
      </c>
      <c r="B39" s="23" t="s"/>
      <c r="C39" s="20" t="s">
        <v>137</v>
      </c>
      <c r="D39" s="14" t="s"/>
      <c r="E39" s="21" t="s">
        <v>86</v>
      </c>
      <c r="F39" s="27" t="s"/>
    </row>
    <row r="40" spans="1:6">
      <c r="A40" s="18" t="s">
        <v>186</v>
      </c>
      <c r="B40" s="23" t="s"/>
      <c r="C40" s="20" t="s">
        <v>139</v>
      </c>
      <c r="D40" s="14" t="s"/>
      <c r="E40" s="21" t="s">
        <v>86</v>
      </c>
      <c r="F40" s="27" t="s"/>
    </row>
    <row r="41" spans="1:6">
      <c r="A41" s="18" t="s">
        <v>189</v>
      </c>
      <c r="B41" s="23" t="s"/>
      <c r="C41" s="20" t="s">
        <v>142</v>
      </c>
      <c r="D41" s="14" t="s"/>
      <c r="E41" s="21" t="s">
        <v>86</v>
      </c>
      <c r="F41" s="27" t="s"/>
    </row>
    <row r="42" spans="1:6">
      <c r="A42" s="18" t="s">
        <v>193</v>
      </c>
      <c r="B42" s="23" t="s"/>
      <c r="C42" s="20" t="s">
        <v>146</v>
      </c>
      <c r="D42" s="14" t="s"/>
      <c r="E42" s="21" t="s">
        <v>86</v>
      </c>
      <c r="F42" s="27" t="s"/>
    </row>
    <row r="43" spans="1:6">
      <c r="A43" s="18" t="s">
        <v>198</v>
      </c>
      <c r="B43" s="23" t="s"/>
      <c r="C43" s="20" t="s">
        <v>149</v>
      </c>
      <c r="D43" s="14" t="s"/>
      <c r="E43" s="21" t="s">
        <v>86</v>
      </c>
      <c r="F43" s="28" t="s"/>
    </row>
    <row r="44" spans="1:6">
      <c r="A44" s="18" t="s">
        <v>165</v>
      </c>
      <c r="B44" s="19" t="s">
        <v>166</v>
      </c>
      <c r="C44" s="20" t="s">
        <v>167</v>
      </c>
      <c r="D44" s="21" t="s">
        <v>82</v>
      </c>
      <c r="E44" s="14" t="s"/>
      <c r="F44" s="14" t="s"/>
    </row>
    <row r="45" spans="1:6">
      <c r="A45" s="18" t="s">
        <v>169</v>
      </c>
      <c r="B45" s="19" t="s">
        <v>269</v>
      </c>
      <c r="C45" s="20" t="s">
        <v>171</v>
      </c>
      <c r="D45" s="14" t="s"/>
      <c r="E45" s="14" t="s"/>
      <c r="F45" s="25">
        <v>0.5</v>
      </c>
    </row>
    <row r="46" spans="1:6">
      <c r="A46" s="18" t="s">
        <v>173</v>
      </c>
      <c r="B46" s="23" t="s"/>
      <c r="C46" s="20" t="s">
        <v>174</v>
      </c>
      <c r="D46" s="14" t="s"/>
      <c r="E46" s="14" t="s"/>
      <c r="F46" s="28" t="s"/>
    </row>
    <row r="47" spans="1:6">
      <c r="A47" s="18" t="s">
        <v>176</v>
      </c>
      <c r="B47" s="19" t="s">
        <v>177</v>
      </c>
      <c r="C47" s="20" t="s">
        <v>270</v>
      </c>
      <c r="D47" s="21" t="s">
        <v>82</v>
      </c>
      <c r="E47" s="14" t="s"/>
      <c r="F47" s="14" t="s"/>
    </row>
    <row r="48" spans="1:6">
      <c r="A48" s="18" t="s">
        <v>180</v>
      </c>
      <c r="B48" s="23" t="s"/>
      <c r="C48" s="20" t="s">
        <v>178</v>
      </c>
      <c r="D48" s="21" t="s">
        <v>82</v>
      </c>
      <c r="E48" s="14" t="s"/>
      <c r="F48" s="14" t="s"/>
    </row>
    <row r="49" spans="1:6">
      <c r="A49" s="18" t="s">
        <v>184</v>
      </c>
      <c r="B49" s="23" t="s"/>
      <c r="C49" s="20" t="s">
        <v>181</v>
      </c>
      <c r="D49" s="21" t="s">
        <v>82</v>
      </c>
      <c r="E49" s="14" t="s"/>
      <c r="F49" s="14" t="s"/>
    </row>
    <row r="50" spans="1:6">
      <c r="A50" s="18" t="s">
        <v>187</v>
      </c>
      <c r="B50" s="23" t="s"/>
      <c r="C50" s="20" t="s">
        <v>185</v>
      </c>
      <c r="D50" s="21" t="s">
        <v>82</v>
      </c>
      <c r="E50" s="14" t="s"/>
      <c r="F50" s="14" t="s"/>
    </row>
    <row r="51" spans="1:6">
      <c r="A51" s="18" t="s">
        <v>191</v>
      </c>
      <c r="B51" s="23" t="s"/>
      <c r="C51" s="20" t="s">
        <v>188</v>
      </c>
      <c r="D51" s="21" t="s"/>
      <c r="E51" s="14" t="s"/>
      <c r="F51" s="14">
        <v>0.5</v>
      </c>
    </row>
    <row r="52" spans="1:6">
      <c r="A52" s="18" t="s">
        <v>221</v>
      </c>
      <c r="B52" s="23" t="s"/>
      <c r="C52" s="20" t="s">
        <v>192</v>
      </c>
      <c r="D52" s="21" t="s">
        <v>82</v>
      </c>
      <c r="E52" s="14" t="s"/>
      <c r="F52" s="14" t="s"/>
    </row>
    <row r="53" spans="1:6">
      <c r="A53" s="18" t="s">
        <v>271</v>
      </c>
      <c r="B53" s="19" t="s">
        <v>152</v>
      </c>
      <c r="C53" s="20" t="s">
        <v>152</v>
      </c>
      <c r="D53" s="21" t="s">
        <v>82</v>
      </c>
      <c r="E53" s="14" t="s"/>
      <c r="F53" s="14" t="s"/>
    </row>
    <row r="54" spans="1:6">
      <c r="A54" s="18" t="s">
        <v>195</v>
      </c>
      <c r="B54" s="19" t="s">
        <v>155</v>
      </c>
      <c r="C54" s="20" t="s">
        <v>155</v>
      </c>
      <c r="D54" s="21" t="s">
        <v>82</v>
      </c>
      <c r="E54" s="14" t="s"/>
      <c r="F54" s="14" t="s"/>
    </row>
    <row r="55" spans="1:6">
      <c r="A55" s="18" t="s">
        <v>201</v>
      </c>
      <c r="B55" s="19" t="s">
        <v>127</v>
      </c>
      <c r="C55" s="20" t="s">
        <v>127</v>
      </c>
      <c r="D55" s="21" t="s">
        <v>82</v>
      </c>
      <c r="E55" s="14" t="s"/>
      <c r="F55" s="14" t="s"/>
    </row>
    <row r="56" spans="1:6">
      <c r="A56" s="18" t="s">
        <v>204</v>
      </c>
      <c r="B56" s="19" t="s">
        <v>160</v>
      </c>
      <c r="C56" s="20" t="s">
        <v>161</v>
      </c>
      <c r="D56" s="21" t="s">
        <v>82</v>
      </c>
      <c r="E56" s="14" t="s"/>
      <c r="F56" s="14" t="s"/>
    </row>
    <row r="57" spans="1:6">
      <c r="A57" s="18" t="s">
        <v>207</v>
      </c>
      <c r="B57" s="23" t="s"/>
      <c r="C57" s="20" t="s">
        <v>164</v>
      </c>
      <c r="D57" s="21" t="s">
        <v>82</v>
      </c>
      <c r="E57" s="14" t="s"/>
      <c r="F57" s="14" t="s"/>
    </row>
    <row r="58" spans="1:6">
      <c r="A58" s="18" t="s">
        <v>209</v>
      </c>
      <c r="B58" s="19" t="s">
        <v>18</v>
      </c>
      <c r="C58" s="20" t="s">
        <v>90</v>
      </c>
      <c r="D58" s="21" t="s">
        <v>82</v>
      </c>
      <c r="E58" s="14" t="s"/>
      <c r="F58" s="14" t="s"/>
    </row>
    <row r="59" spans="1:6">
      <c r="A59" s="18" t="s">
        <v>211</v>
      </c>
      <c r="B59" s="23" t="s"/>
      <c r="C59" s="20" t="s">
        <v>152</v>
      </c>
      <c r="D59" s="21" t="s">
        <v>82</v>
      </c>
      <c r="E59" s="14" t="s"/>
      <c r="F59" s="14" t="s"/>
    </row>
    <row r="60" spans="1:6">
      <c r="A60" s="18" t="s">
        <v>213</v>
      </c>
      <c r="B60" s="23" t="s"/>
      <c r="C60" s="20" t="s">
        <v>155</v>
      </c>
      <c r="D60" s="21" t="s">
        <v>82</v>
      </c>
      <c r="E60" s="14" t="s"/>
      <c r="F60" s="14" t="s"/>
    </row>
    <row r="61" spans="1:6">
      <c r="A61" s="18" t="s">
        <v>216</v>
      </c>
      <c r="B61" s="23" t="s"/>
      <c r="C61" s="20" t="s">
        <v>127</v>
      </c>
      <c r="D61" s="21" t="s">
        <v>82</v>
      </c>
      <c r="E61" s="14" t="s"/>
      <c r="F61" s="14" t="s"/>
    </row>
    <row r="62" spans="1:6">
      <c r="A62" s="18" t="s">
        <v>218</v>
      </c>
      <c r="B62" s="23" t="s"/>
      <c r="C62" s="20" t="s">
        <v>183</v>
      </c>
      <c r="D62" s="21" t="s">
        <v>82</v>
      </c>
      <c r="E62" s="14" t="s"/>
      <c r="F62" s="14" t="s"/>
    </row>
    <row r="63" spans="1:6">
      <c r="A63" s="18" t="s">
        <v>220</v>
      </c>
      <c r="B63" s="23" t="s"/>
      <c r="C63" s="20" t="s">
        <v>164</v>
      </c>
      <c r="D63" s="21" t="s">
        <v>82</v>
      </c>
      <c r="E63" s="14" t="s"/>
      <c r="F63" s="14" t="s"/>
    </row>
    <row r="64" spans="1:6">
      <c r="A64" s="18" t="s">
        <v>223</v>
      </c>
      <c r="B64" s="23" t="s"/>
      <c r="C64" s="20" t="s">
        <v>190</v>
      </c>
      <c r="D64" s="21" t="s">
        <v>82</v>
      </c>
      <c r="E64" s="14" t="s"/>
      <c r="F64" s="14" t="s"/>
    </row>
    <row r="65" spans="1:6">
      <c r="A65" s="18" t="s">
        <v>224</v>
      </c>
      <c r="B65" s="23" t="s"/>
      <c r="C65" s="20" t="s">
        <v>194</v>
      </c>
      <c r="D65" s="21" t="s">
        <v>82</v>
      </c>
      <c r="E65" s="14" t="s"/>
      <c r="F65" s="14" t="s"/>
    </row>
    <row r="66" spans="1:6">
      <c r="A66" s="18" t="s">
        <v>225</v>
      </c>
      <c r="B66" s="19" t="s">
        <v>199</v>
      </c>
      <c r="C66" s="20" t="s">
        <v>200</v>
      </c>
      <c r="D66" s="14" t="s"/>
      <c r="E66" s="21" t="s">
        <v>86</v>
      </c>
      <c r="F66" s="25">
        <v>4</v>
      </c>
    </row>
    <row r="67" spans="1:6">
      <c r="A67" s="18" t="s">
        <v>226</v>
      </c>
      <c r="B67" s="23" t="s"/>
      <c r="C67" s="20" t="s">
        <v>203</v>
      </c>
      <c r="D67" s="14" t="s"/>
      <c r="E67" s="21" t="s">
        <v>86</v>
      </c>
      <c r="F67" s="27" t="s"/>
    </row>
    <row r="68" spans="1:6">
      <c r="A68" s="18" t="s">
        <v>227</v>
      </c>
      <c r="B68" s="23" t="s"/>
      <c r="C68" s="20" t="s">
        <v>206</v>
      </c>
      <c r="D68" s="14" t="s"/>
      <c r="E68" s="21" t="s">
        <v>86</v>
      </c>
      <c r="F68" s="27" t="s"/>
    </row>
    <row r="69" spans="1:6">
      <c r="A69" s="18" t="s">
        <v>228</v>
      </c>
      <c r="B69" s="23" t="s"/>
      <c r="C69" s="20" t="s">
        <v>208</v>
      </c>
      <c r="D69" s="14" t="s"/>
      <c r="E69" s="21" t="s">
        <v>86</v>
      </c>
      <c r="F69" s="27" t="s"/>
    </row>
    <row r="70" spans="1:6">
      <c r="A70" s="18" t="s">
        <v>229</v>
      </c>
      <c r="B70" s="23" t="s"/>
      <c r="C70" s="20" t="s">
        <v>210</v>
      </c>
      <c r="D70" s="14" t="s"/>
      <c r="E70" s="21" t="s">
        <v>86</v>
      </c>
      <c r="F70" s="27" t="s"/>
    </row>
    <row r="71" spans="1:6">
      <c r="A71" s="18" t="s">
        <v>230</v>
      </c>
      <c r="B71" s="23" t="s"/>
      <c r="C71" s="20" t="s">
        <v>212</v>
      </c>
      <c r="D71" s="14" t="s"/>
      <c r="E71" s="21" t="s">
        <v>86</v>
      </c>
      <c r="F71" s="28" t="s"/>
    </row>
    <row r="72" spans="1:6">
      <c r="A72" s="18" t="s">
        <v>231</v>
      </c>
      <c r="B72" s="19" t="s">
        <v>214</v>
      </c>
      <c r="C72" s="20" t="s">
        <v>215</v>
      </c>
      <c r="D72" s="21" t="s">
        <v>82</v>
      </c>
      <c r="E72" s="14" t="s"/>
      <c r="F72" s="14" t="s"/>
    </row>
    <row r="73" spans="1:6">
      <c r="A73" s="18" t="s">
        <v>232</v>
      </c>
      <c r="B73" s="23" t="s"/>
      <c r="C73" s="20" t="s">
        <v>217</v>
      </c>
      <c r="D73" s="21" t="s">
        <v>82</v>
      </c>
      <c r="E73" s="14" t="s"/>
      <c r="F73" s="14" t="s"/>
    </row>
    <row r="74" spans="1:6">
      <c r="A74" s="18" t="s">
        <v>233</v>
      </c>
      <c r="B74" s="23" t="s"/>
      <c r="C74" s="20" t="s">
        <v>219</v>
      </c>
      <c r="D74" s="21" t="s">
        <v>82</v>
      </c>
      <c r="E74" s="14" t="s"/>
      <c r="F74" s="14" t="s"/>
    </row>
    <row r="75" spans="1:6">
      <c r="A75" s="18" t="s">
        <v>234</v>
      </c>
      <c r="B75" s="23" t="s"/>
      <c r="C75" s="20" t="s">
        <v>222</v>
      </c>
      <c r="D75" s="21" t="s">
        <v>82</v>
      </c>
      <c r="E75" s="14" t="s"/>
      <c r="F75" s="14" t="s"/>
    </row>
    <row r="76" spans="1:6">
      <c r="A76" s="18" t="s">
        <v>235</v>
      </c>
      <c r="B76" s="19" t="s">
        <v>196</v>
      </c>
      <c r="C76" s="20" t="s">
        <v>197</v>
      </c>
      <c r="D76" s="21" t="s">
        <v>82</v>
      </c>
      <c r="E76" s="14" t="s"/>
      <c r="F76" s="14" t="s"/>
    </row>
    <row r="77" spans="1:6">
      <c r="A77" s="18" t="s">
        <v>236</v>
      </c>
      <c r="B77" s="23" t="s"/>
      <c r="C77" s="20" t="s">
        <v>202</v>
      </c>
      <c r="D77" s="21" t="s">
        <v>82</v>
      </c>
      <c r="E77" s="14" t="s"/>
      <c r="F77" s="14" t="s"/>
    </row>
    <row r="78" spans="1:6">
      <c r="A78" s="18" t="s">
        <v>237</v>
      </c>
      <c r="B78" s="23" t="s"/>
      <c r="C78" s="20" t="s">
        <v>205</v>
      </c>
      <c r="D78" s="21" t="s">
        <v>82</v>
      </c>
      <c r="E78" s="14" t="s"/>
      <c r="F78" s="14" t="s"/>
    </row>
  </sheetData>
  <mergeCells count="21">
    <mergeCell ref="B3:B4"/>
    <mergeCell ref="B5:B11"/>
    <mergeCell ref="B12:B16"/>
    <mergeCell ref="B17:B20"/>
    <mergeCell ref="B21:B23"/>
    <mergeCell ref="B24:B27"/>
    <mergeCell ref="B28:B34"/>
    <mergeCell ref="B35:B43"/>
    <mergeCell ref="B45:B46"/>
    <mergeCell ref="B47:B52"/>
    <mergeCell ref="B56:B57"/>
    <mergeCell ref="B58:B65"/>
    <mergeCell ref="B66:B71"/>
    <mergeCell ref="B72:B75"/>
    <mergeCell ref="B76:B78"/>
    <mergeCell ref="F12:F16"/>
    <mergeCell ref="F66:F71"/>
    <mergeCell ref="F45:F46"/>
    <mergeCell ref="F17:F20"/>
    <mergeCell ref="F35:F43"/>
    <mergeCell ref="F5:F10"/>
  </mergeCells>
</worksheet>
</file>

<file path=xl/worksheets/sheet5.xml><?xml version="1.0" encoding="utf-8"?>
<worksheet xmlns="http://schemas.openxmlformats.org/spreadsheetml/2006/main">
  <sheetPr codeName="业务功能&amp;组件依赖关系">
    <tabColor/>
  </sheetPr>
  <dimension ref="D71"/>
  <sheetViews>
    <sheetView showGridLines="true" workbookViewId="0"/>
  </sheetViews>
  <sheetFormatPr baseColWidth="13" defaultRowHeight="18" customHeight="true"/>
  <cols>
    <col min="2" max="2" width="12.0039" customWidth="true"/>
    <col min="3" max="3" width="15.5938" customWidth="true"/>
    <col min="4" max="4" width="24.9609" customWidth="true"/>
  </cols>
  <sheetData>
    <row r="1" spans="1:4">
      <c r="A1" s="41" t="s">
        <v>272</v>
      </c>
      <c r="B1" s="41" t="s">
        <v>273</v>
      </c>
      <c r="C1" s="41" t="s">
        <v>274</v>
      </c>
      <c r="D1" s="41" t="s">
        <v>275</v>
      </c>
    </row>
    <row r="2" spans="1:4">
      <c r="A2" s="20" t="s">
        <f>=CONCATENATE("#",ROW()-1)</f>
        <v>79</v>
      </c>
      <c r="B2" s="42" t="s">
        <v>164</v>
      </c>
      <c r="C2" s="42" t="s">
        <v>161</v>
      </c>
      <c r="D2" s="20" t="s">
        <v>96</v>
      </c>
    </row>
    <row r="3" spans="1:4">
      <c r="A3" s="20" t="s">
        <f>=CONCATENATE("#",ROW()-1)</f>
        <v>87</v>
      </c>
      <c r="B3" s="14" t="s"/>
      <c r="C3" s="42" t="s">
        <v>276</v>
      </c>
      <c r="D3" s="20" t="s">
        <v>96</v>
      </c>
    </row>
    <row r="4" spans="1:4">
      <c r="A4" s="20" t="s">
        <f>=CONCATENATE("#",ROW()-1)</f>
        <v>91</v>
      </c>
      <c r="B4" s="14" t="s"/>
      <c r="C4" s="42" t="s">
        <v>277</v>
      </c>
      <c r="D4" s="43" t="s"/>
    </row>
    <row r="5" spans="1:4">
      <c r="A5" s="20" t="s">
        <f>=CONCATENATE("#",ROW()-1)</f>
        <v>96</v>
      </c>
      <c r="B5" s="42" t="s">
        <v>90</v>
      </c>
      <c r="C5" s="42" t="s">
        <v>278</v>
      </c>
      <c r="D5" s="43" t="s"/>
    </row>
    <row r="6" spans="1:4">
      <c r="A6" s="20" t="s">
        <f>=CONCATENATE("#",ROW()-1)</f>
        <v>100</v>
      </c>
      <c r="B6" s="14" t="s"/>
      <c r="C6" s="42" t="s">
        <v>152</v>
      </c>
      <c r="D6" s="20" t="s">
        <v>96</v>
      </c>
    </row>
    <row r="7" spans="1:4">
      <c r="A7" s="20" t="s">
        <f>=CONCATENATE("#",ROW()-1)</f>
        <v>104</v>
      </c>
      <c r="B7" s="14" t="s"/>
      <c r="C7" s="42" t="s">
        <v>279</v>
      </c>
      <c r="D7" s="20" t="s">
        <v>96</v>
      </c>
    </row>
    <row r="8" spans="1:4">
      <c r="A8" s="20" t="s">
        <f>=CONCATENATE("#",ROW()-1)</f>
        <v>109</v>
      </c>
      <c r="B8" s="14" t="s"/>
      <c r="C8" s="42" t="s">
        <v>127</v>
      </c>
      <c r="D8" s="20" t="s">
        <v>96</v>
      </c>
    </row>
    <row r="9" spans="1:4">
      <c r="A9" s="20" t="s">
        <f>=CONCATENATE("#",ROW()-1)</f>
        <v>113</v>
      </c>
      <c r="B9" s="14" t="s"/>
      <c r="C9" s="42" t="s">
        <v>99</v>
      </c>
      <c r="D9" s="20" t="s">
        <v>96</v>
      </c>
    </row>
    <row r="10" spans="1:4">
      <c r="A10" s="20" t="s">
        <f>=CONCATENATE("#",ROW()-1)</f>
        <v>117</v>
      </c>
      <c r="B10" s="42" t="s">
        <v>141</v>
      </c>
      <c r="C10" s="42" t="s">
        <v>141</v>
      </c>
      <c r="D10" s="20" t="s">
        <v>96</v>
      </c>
    </row>
    <row r="11" spans="1:4">
      <c r="A11" s="20" t="s">
        <f>=CONCATENATE("#",ROW()-1)</f>
        <v>83</v>
      </c>
      <c r="B11" s="42" t="s">
        <v>280</v>
      </c>
      <c r="C11" s="42" t="s">
        <v>281</v>
      </c>
      <c r="D11" s="43" t="s"/>
    </row>
    <row r="12" spans="1:4">
      <c r="A12" s="20" t="s">
        <f>=CONCATENATE("#",ROW()-1)</f>
        <v>89</v>
      </c>
      <c r="B12" s="14" t="s"/>
      <c r="C12" s="42" t="s">
        <v>282</v>
      </c>
      <c r="D12" s="43" t="s"/>
    </row>
    <row r="13" spans="1:4">
      <c r="A13" s="20" t="s">
        <f>=CONCATENATE("#",ROW()-1)</f>
        <v>94</v>
      </c>
      <c r="B13" s="14" t="s"/>
      <c r="C13" s="42" t="s">
        <v>283</v>
      </c>
      <c r="D13" s="43" t="s"/>
    </row>
    <row r="14" spans="1:4">
      <c r="A14" s="20" t="s">
        <f>=CONCATENATE("#",ROW()-1)</f>
        <v>98</v>
      </c>
      <c r="B14" s="42" t="s">
        <v>199</v>
      </c>
      <c r="C14" s="42" t="s">
        <v>200</v>
      </c>
      <c r="D14" s="20" t="s">
        <v>225</v>
      </c>
    </row>
    <row r="15" spans="1:4">
      <c r="A15" s="20" t="s">
        <f>=CONCATENATE("#",ROW()-1)</f>
        <v>102</v>
      </c>
      <c r="B15" s="14" t="s"/>
      <c r="C15" s="42" t="s">
        <v>203</v>
      </c>
      <c r="D15" s="20" t="s">
        <v>226</v>
      </c>
    </row>
    <row r="16" spans="1:4">
      <c r="A16" s="20" t="s">
        <f>=CONCATENATE("#",ROW()-1)</f>
        <v>106</v>
      </c>
      <c r="B16" s="14" t="s"/>
      <c r="C16" s="42" t="s">
        <v>206</v>
      </c>
      <c r="D16" s="20" t="s">
        <v>227</v>
      </c>
    </row>
    <row r="17" spans="1:4">
      <c r="A17" s="20" t="s">
        <f>=CONCATENATE("#",ROW()-1)</f>
        <v>111</v>
      </c>
      <c r="B17" s="14" t="s"/>
      <c r="C17" s="42" t="s">
        <v>284</v>
      </c>
      <c r="D17" s="20" t="s">
        <v>228</v>
      </c>
    </row>
    <row r="18" spans="1:4">
      <c r="A18" s="20" t="s">
        <f>=CONCATENATE("#",ROW()-1)</f>
        <v>115</v>
      </c>
      <c r="B18" s="14" t="s"/>
      <c r="C18" s="42" t="s">
        <v>210</v>
      </c>
      <c r="D18" s="20" t="s">
        <v>229</v>
      </c>
    </row>
    <row r="19" spans="1:4">
      <c r="A19" s="20" t="s">
        <f>=CONCATENATE("#",ROW()-1)</f>
        <v>119</v>
      </c>
      <c r="B19" s="14" t="s"/>
      <c r="C19" s="42" t="s">
        <v>212</v>
      </c>
      <c r="D19" s="20" t="s">
        <v>230</v>
      </c>
    </row>
    <row r="20" spans="1:4">
      <c r="A20" s="20" t="s">
        <f>=CONCATENATE("#",ROW()-1)</f>
        <v>121</v>
      </c>
      <c r="B20" s="42" t="s">
        <v>285</v>
      </c>
      <c r="C20" s="42" t="s">
        <v>286</v>
      </c>
      <c r="D20" s="20" t="s">
        <v>287</v>
      </c>
    </row>
    <row r="21" spans="1:4">
      <c r="A21" s="20" t="s">
        <f>=CONCATENATE("#",ROW()-1)</f>
        <v>126</v>
      </c>
      <c r="B21" s="14" t="s"/>
      <c r="C21" s="42" t="s">
        <v>288</v>
      </c>
      <c r="D21" s="20" t="s">
        <v>289</v>
      </c>
    </row>
    <row r="22" spans="1:4">
      <c r="A22" s="20" t="s">
        <f>=CONCATENATE("#",ROW()-1)</f>
        <v>129</v>
      </c>
      <c r="B22" s="14" t="s"/>
      <c r="C22" s="42" t="s">
        <v>290</v>
      </c>
      <c r="D22" s="20" t="s">
        <v>291</v>
      </c>
    </row>
    <row r="23" spans="1:4">
      <c r="A23" s="20" t="s">
        <f>=CONCATENATE("#",ROW()-1)</f>
        <v>132</v>
      </c>
      <c r="B23" s="42" t="s">
        <v>292</v>
      </c>
      <c r="C23" s="42" t="s">
        <v>293</v>
      </c>
      <c r="D23" s="20" t="s">
        <v>294</v>
      </c>
    </row>
    <row r="24" spans="1:4">
      <c r="A24" s="20" t="s">
        <f>=CONCATENATE("#",ROW()-1)</f>
        <v>136</v>
      </c>
      <c r="B24" s="14" t="s"/>
      <c r="C24" s="42" t="s">
        <v>295</v>
      </c>
      <c r="D24" s="20" t="s">
        <v>294</v>
      </c>
    </row>
    <row r="25" spans="1:4">
      <c r="A25" s="20" t="s">
        <f>=CONCATENATE("#",ROW()-1)</f>
        <v>138</v>
      </c>
      <c r="B25" s="14" t="s"/>
      <c r="C25" s="42" t="s">
        <v>296</v>
      </c>
      <c r="D25" s="20" t="s">
        <v>294</v>
      </c>
    </row>
    <row r="26" spans="1:4">
      <c r="A26" s="20" t="s">
        <f>=CONCATENATE("#",ROW()-1)</f>
        <v>140</v>
      </c>
      <c r="B26" s="42" t="s">
        <v>13</v>
      </c>
      <c r="C26" s="42" t="s">
        <v>13</v>
      </c>
      <c r="D26" s="20" t="s">
        <v>297</v>
      </c>
    </row>
    <row r="27" spans="1:4">
      <c r="A27" s="20" t="s">
        <f>=CONCATENATE("#",ROW()-1)</f>
        <v>143</v>
      </c>
      <c r="B27" s="42" t="s">
        <v>298</v>
      </c>
      <c r="C27" s="42" t="s">
        <v>299</v>
      </c>
      <c r="D27" s="20" t="s">
        <v>300</v>
      </c>
    </row>
    <row r="28" spans="1:4">
      <c r="A28" s="20" t="s">
        <f>=CONCATENATE("#",ROW()-1)</f>
        <v>147</v>
      </c>
      <c r="B28" s="14" t="s"/>
      <c r="C28" s="42" t="s">
        <v>301</v>
      </c>
      <c r="D28" s="20" t="s">
        <v>300</v>
      </c>
    </row>
    <row r="29" spans="1:4">
      <c r="A29" s="20" t="s">
        <f>=CONCATENATE("#",ROW()-1)</f>
        <v>150</v>
      </c>
      <c r="B29" s="14" t="s"/>
      <c r="C29" s="42" t="s">
        <v>302</v>
      </c>
      <c r="D29" s="20" t="s">
        <v>300</v>
      </c>
    </row>
    <row r="30" spans="1:4">
      <c r="A30" s="20" t="s">
        <f>=CONCATENATE("#",ROW()-1)</f>
        <v>153</v>
      </c>
      <c r="B30" s="20" t="s">
        <v>303</v>
      </c>
      <c r="C30" s="44" t="s">
        <v>107</v>
      </c>
      <c r="D30" s="20" t="s">
        <v>304</v>
      </c>
    </row>
    <row r="31" spans="1:4">
      <c r="A31" s="20" t="s">
        <f>=CONCATENATE("#",ROW()-1)</f>
        <v>156</v>
      </c>
      <c r="B31" s="14" t="s"/>
      <c r="C31" s="44" t="s">
        <v>190</v>
      </c>
      <c r="D31" s="20" t="s">
        <v>305</v>
      </c>
    </row>
    <row r="32" spans="1:4">
      <c r="A32" s="20" t="s">
        <f>=CONCATENATE("#",ROW()-1)</f>
        <v>158</v>
      </c>
      <c r="B32" s="14" t="s"/>
      <c r="C32" s="44" t="s">
        <v>306</v>
      </c>
      <c r="D32" s="20" t="s">
        <v>307</v>
      </c>
    </row>
    <row r="33" spans="1:4">
      <c r="A33" s="20" t="s">
        <f>=CONCATENATE("#",ROW()-1)</f>
        <v>162</v>
      </c>
      <c r="B33" s="14" t="s"/>
      <c r="C33" s="44" t="s">
        <v>308</v>
      </c>
      <c r="D33" s="20" t="s">
        <v>309</v>
      </c>
    </row>
    <row r="34" spans="1:4">
      <c r="A34" s="20" t="s">
        <f>=CONCATENATE("#",ROW()-1)</f>
        <v>168</v>
      </c>
      <c r="B34" s="20" t="s">
        <v>310</v>
      </c>
      <c r="C34" s="44" t="s">
        <v>311</v>
      </c>
      <c r="D34" s="20" t="s">
        <v>312</v>
      </c>
    </row>
    <row r="35" spans="1:4">
      <c r="A35" s="20" t="s">
        <f>=CONCATENATE("#",ROW()-1)</f>
        <v>172</v>
      </c>
      <c r="B35" s="14" t="s"/>
      <c r="C35" s="44" t="s">
        <v>313</v>
      </c>
      <c r="D35" s="20" t="s">
        <v>117</v>
      </c>
    </row>
    <row r="36" spans="1:4">
      <c r="A36" s="20" t="s">
        <f>=CONCATENATE("#",ROW()-1)</f>
        <v>175</v>
      </c>
      <c r="B36" s="14" t="s"/>
      <c r="C36" s="44" t="s">
        <v>314</v>
      </c>
      <c r="D36" s="20" t="s">
        <v>117</v>
      </c>
    </row>
    <row r="37" spans="1:4">
      <c r="A37" s="20" t="s">
        <f>=CONCATENATE("#",ROW()-1)</f>
        <v>179</v>
      </c>
      <c r="B37" s="14" t="s"/>
      <c r="C37" s="44" t="s">
        <v>315</v>
      </c>
      <c r="D37" s="20" t="s">
        <v>316</v>
      </c>
    </row>
    <row r="38" spans="1:4">
      <c r="A38" s="20" t="s">
        <f>=CONCATENATE("#",ROW()-1)</f>
        <v>182</v>
      </c>
      <c r="B38" s="14" t="s"/>
      <c r="C38" s="44" t="s">
        <v>285</v>
      </c>
      <c r="D38" s="20" t="s">
        <v>305</v>
      </c>
    </row>
    <row r="39" spans="1:4">
      <c r="A39" s="20" t="s">
        <f>=CONCATENATE("#",ROW()-1)</f>
        <v>186</v>
      </c>
      <c r="B39" s="14" t="s"/>
      <c r="C39" s="44" t="s">
        <v>317</v>
      </c>
      <c r="D39" s="20" t="s">
        <v>318</v>
      </c>
    </row>
    <row r="40" spans="1:4">
      <c r="A40" s="20" t="s">
        <f>=CONCATENATE("#",ROW()-1)</f>
        <v>189</v>
      </c>
      <c r="B40" s="20" t="s">
        <v>319</v>
      </c>
      <c r="C40" s="44" t="s">
        <v>320</v>
      </c>
      <c r="D40" s="20" t="s">
        <v>321</v>
      </c>
    </row>
    <row r="41" spans="1:4">
      <c r="A41" s="20" t="s">
        <f>=CONCATENATE("#",ROW()-1)</f>
        <v>193</v>
      </c>
      <c r="B41" s="14" t="s"/>
      <c r="C41" s="44" t="s">
        <v>322</v>
      </c>
      <c r="D41" s="20" t="s">
        <v>321</v>
      </c>
    </row>
    <row r="42" spans="1:4">
      <c r="A42" s="20" t="s">
        <f>=CONCATENATE("#",ROW()-1)</f>
        <v>198</v>
      </c>
      <c r="B42" s="14" t="s"/>
      <c r="C42" s="44" t="s">
        <v>323</v>
      </c>
      <c r="D42" s="20" t="s">
        <v>324</v>
      </c>
    </row>
    <row r="43" spans="1:4">
      <c r="A43" s="20" t="s">
        <f>=CONCATENATE("#",ROW()-1)</f>
        <v>165</v>
      </c>
      <c r="B43" s="45" t="s">
        <v>325</v>
      </c>
      <c r="C43" s="42" t="s">
        <v>326</v>
      </c>
      <c r="D43" s="20" t="s">
        <v>327</v>
      </c>
    </row>
    <row r="44" spans="1:4">
      <c r="A44" s="20" t="s">
        <f>=CONCATENATE("#",ROW()-1)</f>
        <v>169</v>
      </c>
      <c r="B44" s="25" t="s"/>
      <c r="C44" s="42" t="s">
        <v>328</v>
      </c>
      <c r="D44" s="20" t="s">
        <v>329</v>
      </c>
    </row>
    <row r="45" spans="1:4">
      <c r="A45" s="20" t="s">
        <f>=CONCATENATE("#",ROW()-1)</f>
        <v>173</v>
      </c>
      <c r="B45" s="25" t="s"/>
      <c r="C45" s="42" t="s">
        <v>330</v>
      </c>
      <c r="D45" s="20" t="s">
        <v>329</v>
      </c>
    </row>
    <row r="46" spans="1:4">
      <c r="A46" s="20" t="s">
        <f>=CONCATENATE("#",ROW()-1)</f>
        <v>176</v>
      </c>
      <c r="B46" s="25" t="s"/>
      <c r="C46" s="42" t="s">
        <v>331</v>
      </c>
      <c r="D46" s="20" t="s">
        <v>291</v>
      </c>
    </row>
    <row r="47" spans="1:4">
      <c r="A47" s="20" t="s">
        <f>=CONCATENATE("#",ROW()-1)</f>
        <v>180</v>
      </c>
      <c r="B47" s="25" t="s"/>
      <c r="C47" s="42" t="s">
        <v>332</v>
      </c>
      <c r="D47" s="20" t="s">
        <v>333</v>
      </c>
    </row>
    <row r="48" spans="1:4">
      <c r="A48" s="20" t="s">
        <f>=CONCATENATE("#",ROW()-1)</f>
        <v>184</v>
      </c>
      <c r="B48" s="25" t="s"/>
      <c r="C48" s="42" t="s">
        <v>334</v>
      </c>
      <c r="D48" s="20" t="s">
        <v>300</v>
      </c>
    </row>
    <row r="49" spans="1:4">
      <c r="A49" s="20" t="s">
        <f>=CONCATENATE("#",ROW()-1)</f>
        <v>187</v>
      </c>
      <c r="B49" s="20" t="s">
        <v>335</v>
      </c>
      <c r="C49" s="44" t="s">
        <v>336</v>
      </c>
      <c r="D49" s="20" t="s">
        <v>305</v>
      </c>
    </row>
    <row r="50" spans="1:4">
      <c r="A50" s="20" t="s">
        <f>=CONCATENATE("#",ROW()-1)</f>
        <v>191</v>
      </c>
      <c r="B50" s="14" t="s"/>
      <c r="C50" s="44" t="s">
        <v>328</v>
      </c>
      <c r="D50" s="20" t="s">
        <v>305</v>
      </c>
    </row>
    <row r="51" spans="1:4">
      <c r="A51" s="20" t="s">
        <f>=CONCATENATE("#",ROW()-1)</f>
        <v>221</v>
      </c>
      <c r="B51" s="14" t="s"/>
      <c r="C51" s="44" t="s">
        <v>337</v>
      </c>
      <c r="D51" s="20" t="s">
        <v>305</v>
      </c>
    </row>
    <row r="52" spans="1:4">
      <c r="A52" s="20" t="s">
        <f>=CONCATENATE("#",ROW()-1)</f>
        <v>271</v>
      </c>
      <c r="B52" s="14" t="s"/>
      <c r="C52" s="44" t="s">
        <v>338</v>
      </c>
      <c r="D52" s="20" t="s">
        <v>305</v>
      </c>
    </row>
    <row r="53" spans="1:4">
      <c r="A53" s="20" t="s">
        <f>=CONCATENATE("#",ROW()-1)</f>
        <v>195</v>
      </c>
      <c r="B53" s="14" t="s"/>
      <c r="C53" s="44" t="s">
        <v>339</v>
      </c>
      <c r="D53" s="20" t="s">
        <v>300</v>
      </c>
    </row>
    <row r="54" spans="1:4">
      <c r="A54" s="20" t="s">
        <f>=CONCATENATE("#",ROW()-1)</f>
        <v>201</v>
      </c>
      <c r="B54" s="14" t="s"/>
      <c r="C54" s="44" t="s">
        <v>330</v>
      </c>
      <c r="D54" s="20" t="s">
        <v>340</v>
      </c>
    </row>
    <row r="55" spans="1:4">
      <c r="A55" s="20" t="s">
        <f>=CONCATENATE("#",ROW()-1)</f>
        <v>204</v>
      </c>
      <c r="B55" s="42" t="s">
        <v>18</v>
      </c>
      <c r="C55" s="42" t="s">
        <v>278</v>
      </c>
      <c r="D55" s="43" t="s"/>
    </row>
    <row r="56" spans="1:4">
      <c r="A56" s="20" t="s">
        <f>=CONCATENATE("#",ROW()-1)</f>
        <v>207</v>
      </c>
      <c r="B56" s="14" t="s"/>
      <c r="C56" s="42" t="s">
        <v>152</v>
      </c>
      <c r="D56" s="20" t="s">
        <v>204</v>
      </c>
    </row>
    <row r="57" spans="1:4">
      <c r="A57" s="20" t="s">
        <f>=CONCATENATE("#",ROW()-1)</f>
        <v>209</v>
      </c>
      <c r="B57" s="14" t="s"/>
      <c r="C57" s="42" t="s">
        <v>279</v>
      </c>
      <c r="D57" s="20" t="s">
        <v>204</v>
      </c>
    </row>
    <row r="58" spans="1:4">
      <c r="A58" s="20" t="s">
        <f>=CONCATENATE("#",ROW()-1)</f>
        <v>211</v>
      </c>
      <c r="B58" s="14" t="s"/>
      <c r="C58" s="42" t="s">
        <v>127</v>
      </c>
      <c r="D58" s="20" t="s">
        <v>204</v>
      </c>
    </row>
    <row r="59" spans="1:4">
      <c r="A59" s="20" t="s">
        <f>=CONCATENATE("#",ROW()-1)</f>
        <v>213</v>
      </c>
      <c r="B59" s="14" t="s"/>
      <c r="C59" s="42" t="s">
        <v>99</v>
      </c>
      <c r="D59" s="20" t="s">
        <v>204</v>
      </c>
    </row>
    <row r="60" spans="1:4">
      <c r="A60" s="20" t="s">
        <f>=CONCATENATE("#",ROW()-1)</f>
        <v>216</v>
      </c>
      <c r="B60" s="14" t="s"/>
      <c r="C60" s="42" t="s">
        <v>341</v>
      </c>
      <c r="D60" s="20" t="s">
        <v>204</v>
      </c>
    </row>
    <row r="61" spans="1:4">
      <c r="A61" s="20" t="s">
        <f>=CONCATENATE("#",ROW()-1)</f>
        <v>218</v>
      </c>
      <c r="B61" s="14" t="s"/>
      <c r="C61" s="42" t="s">
        <v>342</v>
      </c>
      <c r="D61" s="43" t="s"/>
    </row>
    <row r="62" spans="1:4">
      <c r="A62" s="20" t="s">
        <f>=CONCATENATE("#",ROW()-1)</f>
        <v>220</v>
      </c>
      <c r="B62" s="14" t="s"/>
      <c r="C62" s="42" t="s">
        <v>343</v>
      </c>
      <c r="D62" s="20" t="s">
        <v>223</v>
      </c>
    </row>
    <row r="63" spans="1:4">
      <c r="A63" s="20" t="s">
        <f>=CONCATENATE("#",ROW()-1)</f>
        <v>223</v>
      </c>
      <c r="B63" s="14" t="s"/>
      <c r="C63" s="42" t="s">
        <v>344</v>
      </c>
      <c r="D63" s="43" t="s"/>
    </row>
    <row r="64" spans="1:4">
      <c r="A64" s="20" t="s">
        <f>=CONCATENATE("#",ROW()-1)</f>
        <v>224</v>
      </c>
      <c r="B64" s="14" t="s"/>
      <c r="C64" s="42" t="s">
        <v>190</v>
      </c>
      <c r="D64" s="43" t="s"/>
    </row>
    <row r="65" spans="1:4">
      <c r="A65" s="20" t="s">
        <f>=CONCATENATE("#",ROW()-1)</f>
        <v>225</v>
      </c>
      <c r="B65" s="14" t="s"/>
      <c r="C65" s="42" t="s">
        <v>194</v>
      </c>
      <c r="D65" s="43" t="s"/>
    </row>
    <row r="66" spans="1:4">
      <c r="A66" s="20" t="s">
        <f>=CONCATENATE("#",ROW()-1)</f>
        <v>226</v>
      </c>
      <c r="B66" s="20" t="s">
        <v>123</v>
      </c>
      <c r="C66" s="44" t="s">
        <v>345</v>
      </c>
      <c r="D66" s="20" t="s">
        <v>121</v>
      </c>
    </row>
    <row r="67" spans="1:4">
      <c r="A67" s="20" t="s">
        <f>=CONCATENATE("#",ROW()-1)</f>
        <v>227</v>
      </c>
      <c r="B67" s="14" t="s"/>
      <c r="C67" s="44" t="s">
        <v>346</v>
      </c>
      <c r="D67" s="20" t="s">
        <v>121</v>
      </c>
    </row>
    <row r="68" spans="1:4">
      <c r="A68" s="20" t="s">
        <f>=CONCATENATE("#",ROW()-1)</f>
        <v>228</v>
      </c>
      <c r="B68" s="14" t="s"/>
      <c r="C68" s="44" t="s">
        <v>347</v>
      </c>
      <c r="D68" s="20" t="s">
        <v>121</v>
      </c>
    </row>
    <row r="69" spans="1:4">
      <c r="A69" s="20" t="s">
        <f>=CONCATENATE("#",ROW()-1)</f>
        <v>229</v>
      </c>
      <c r="B69" s="14" t="s"/>
      <c r="C69" s="44" t="s">
        <v>348</v>
      </c>
      <c r="D69" s="20" t="s">
        <v>121</v>
      </c>
    </row>
    <row r="70" spans="1:4">
      <c r="A70" s="20" t="s">
        <f>=CONCATENATE("#",ROW()-1)</f>
        <v>230</v>
      </c>
      <c r="B70" s="14" t="s"/>
      <c r="C70" s="44" t="s">
        <v>349</v>
      </c>
      <c r="D70" s="20" t="s">
        <v>350</v>
      </c>
    </row>
    <row r="71" spans="1:4">
      <c r="A71" s="20" t="s">
        <f>=CONCATENATE("#",ROW()-1)</f>
        <v>231</v>
      </c>
      <c r="B71" s="14" t="s"/>
      <c r="C71" s="44" t="s">
        <v>351</v>
      </c>
      <c r="D71" s="20" t="s">
        <v>350</v>
      </c>
    </row>
  </sheetData>
  <mergeCells count="14">
    <mergeCell ref="B2:B4"/>
    <mergeCell ref="B5:B9"/>
    <mergeCell ref="B11:B13"/>
    <mergeCell ref="B14:B19"/>
    <mergeCell ref="B20:B22"/>
    <mergeCell ref="B23:B25"/>
    <mergeCell ref="B27:B29"/>
    <mergeCell ref="B30:B33"/>
    <mergeCell ref="B34:B39"/>
    <mergeCell ref="B40:B42"/>
    <mergeCell ref="B43:B48"/>
    <mergeCell ref="B49:B54"/>
    <mergeCell ref="B55:B65"/>
    <mergeCell ref="B66:B71"/>
  </mergeCells>
</worksheet>
</file>

<file path=xl/worksheets/sheet6.xml><?xml version="1.0" encoding="utf-8"?>
<worksheet xmlns="http://schemas.openxmlformats.org/spreadsheetml/2006/main">
  <sheetPr codeName="部署运维">
    <tabColor/>
  </sheetPr>
  <dimension ref="D13"/>
  <sheetViews>
    <sheetView showGridLines="true" workbookViewId="0"/>
  </sheetViews>
  <sheetFormatPr baseColWidth="13" defaultRowHeight="18" customHeight="true"/>
  <cols>
    <col min="1" max="1" width="13.6719" style="88"/>
    <col min="2" max="2" width="69.2109" customWidth="true"/>
    <col min="3" max="3" width="20.6328" customWidth="true"/>
    <col min="4" max="4" width="29.6133" customWidth="true"/>
  </cols>
  <sheetData>
    <row r="2" spans="1:4">
      <c r="A2" s="4" t="s">
        <v>1</v>
      </c>
      <c r="B2" s="5" t="s">
        <v>2</v>
      </c>
      <c r="C2" s="5" t="s">
        <v>3</v>
      </c>
      <c r="D2" s="5" t="s">
        <v>4</v>
      </c>
    </row>
    <row r="3" spans="1:4">
      <c r="A3" s="6" t="s">
        <v>5</v>
      </c>
      <c r="B3" s="7" t="s">
        <v>530</v>
      </c>
      <c r="C3" s="8">
        <v>192</v>
      </c>
      <c r="D3" s="8" t="s">
        <v>6</v>
      </c>
    </row>
    <row r="4" spans="1:4">
      <c r="A4" s="9" t="s"/>
      <c r="B4" s="8" t="s">
        <v>7</v>
      </c>
      <c r="C4" s="10" t="s"/>
      <c r="D4" s="8" t="s">
        <v>8</v>
      </c>
    </row>
    <row r="5" spans="1:4">
      <c r="A5" s="9" t="s"/>
      <c r="B5" s="8" t="s">
        <v>9</v>
      </c>
      <c r="C5" s="10" t="s"/>
      <c r="D5" s="8" t="s">
        <v>10</v>
      </c>
    </row>
    <row r="6" spans="1:4">
      <c r="A6" s="9" t="s"/>
      <c r="B6" s="8" t="s">
        <v>11</v>
      </c>
      <c r="C6" s="10" t="s"/>
      <c r="D6" s="8" t="s">
        <v>12</v>
      </c>
    </row>
    <row r="7" spans="1:4">
      <c r="A7" s="9" t="s"/>
      <c r="B7" s="8" t="s">
        <v>13</v>
      </c>
      <c r="C7" s="10" t="s"/>
      <c r="D7" s="8" t="s">
        <v>14</v>
      </c>
    </row>
    <row r="8" spans="1:4">
      <c r="A8" s="6" t="s">
        <v>15</v>
      </c>
      <c r="B8" s="8" t="s">
        <v>16</v>
      </c>
      <c r="C8" s="8">
        <v>288</v>
      </c>
      <c r="D8" s="8" t="s">
        <v>17</v>
      </c>
    </row>
    <row r="9" spans="1:4">
      <c r="A9" s="9" t="s"/>
      <c r="B9" s="8" t="s">
        <v>18</v>
      </c>
      <c r="C9" s="10" t="s"/>
      <c r="D9" s="8" t="s">
        <v>8</v>
      </c>
    </row>
    <row r="10" spans="1:4">
      <c r="A10" s="9" t="s"/>
      <c r="B10" s="8" t="s">
        <v>19</v>
      </c>
      <c r="C10" s="10" t="s"/>
      <c r="D10" s="8" t="s">
        <v>20</v>
      </c>
    </row>
    <row r="11" spans="1:4">
      <c r="A11" s="9" t="s"/>
      <c r="B11" s="8" t="s">
        <v>21</v>
      </c>
      <c r="C11" s="10" t="s"/>
      <c r="D11" s="8" t="s">
        <v>20</v>
      </c>
    </row>
    <row r="12" spans="1:4">
      <c r="A12" s="6" t="s">
        <v>22</v>
      </c>
      <c r="B12" s="7" t="s">
        <v>531</v>
      </c>
      <c r="C12" s="8">
        <v>120</v>
      </c>
      <c r="D12" s="8" t="s">
        <v>23</v>
      </c>
    </row>
    <row r="13" spans="1:4">
      <c r="A13" s="6" t="s">
        <v>24</v>
      </c>
      <c r="B13" s="11" t="s">
        <v>25</v>
      </c>
      <c r="C13" s="8">
        <v>84</v>
      </c>
      <c r="D13" s="8" t="s">
        <v>26</v>
      </c>
    </row>
  </sheetData>
  <mergeCells count="4">
    <mergeCell ref="A3:A7"/>
    <mergeCell ref="C3:C7"/>
    <mergeCell ref="A8:A11"/>
    <mergeCell ref="C8:C11"/>
  </mergeCells>
</worksheet>
</file>

<file path=xl/worksheets/sheet7.xml><?xml version="1.0" encoding="utf-8"?>
<worksheet xmlns="http://schemas.openxmlformats.org/spreadsheetml/2006/main">
  <sheetPr codeName="组件完成情况统计"/>
  <dimension ref="A58"/>
  <sheetViews>
    <sheetView showGridLines="true" workbookViewId="0"/>
  </sheetViews>
  <sheetFormatPr baseColWidth="13" defaultRowHeight="18" customHeight="true"/>
  <cols>
    <col min="1" max="1" width="5.53125" customWidth="true"/>
    <col min="2" max="2" width="31.7109" customWidth="true"/>
    <col min="3" max="3" width="42.7109" customWidth="true"/>
    <col min="6" max="6" width="23.7422" customWidth="true"/>
    <col min="8" max="8" width="5.53125" customWidth="true"/>
    <col min="9" max="9" width="31.7109" customWidth="true"/>
    <col min="10" max="10" width="42.7109" customWidth="true"/>
    <col min="13" max="13" width="23.7422" customWidth="true"/>
  </cols>
  <sheetData>
    <row r="1" spans="1:12">
      <c r="A1" s="15" t="s"/>
      <c r="B1" s="15" t="s"/>
      <c r="C1" s="15" t="s"/>
      <c r="D1" s="15" t="s"/>
      <c r="E1" s="15" t="s"/>
      <c r="H1" s="15" t="s"/>
      <c r="I1" s="15" t="s"/>
      <c r="J1" s="15" t="s"/>
      <c r="K1" s="15" t="s"/>
      <c r="L1" s="15" t="s"/>
    </row>
    <row r="2" spans="1:13">
      <c r="A2" s="16" t="s">
        <v>73</v>
      </c>
      <c r="B2" s="17" t="s">
        <v>74</v>
      </c>
      <c r="C2" s="16" t="s">
        <v>75</v>
      </c>
      <c r="D2" s="16" t="s">
        <v>76</v>
      </c>
      <c r="E2" s="16" t="s">
        <v>77</v>
      </c>
      <c r="F2" s="16" t="s">
        <v>78</v>
      </c>
      <c r="H2" s="16" t="s">
        <v>73</v>
      </c>
      <c r="I2" s="17" t="s">
        <v>74</v>
      </c>
      <c r="J2" s="16" t="s">
        <v>75</v>
      </c>
      <c r="K2" s="16" t="s">
        <v>76</v>
      </c>
      <c r="L2" s="16" t="s">
        <v>77</v>
      </c>
      <c r="M2" s="16" t="s">
        <v>78</v>
      </c>
    </row>
    <row r="3" spans="1:13">
      <c r="A3" s="18" t="s">
        <v>79</v>
      </c>
      <c r="B3" s="19" t="s">
        <v>80</v>
      </c>
      <c r="C3" s="20" t="s">
        <v>81</v>
      </c>
      <c r="D3" s="21" t="s">
        <v>82</v>
      </c>
      <c r="E3" s="14" t="s"/>
      <c r="F3" s="14" t="s"/>
      <c r="H3" s="18" t="s">
        <v>83</v>
      </c>
      <c r="I3" s="19" t="s">
        <v>84</v>
      </c>
      <c r="J3" s="20" t="s">
        <v>85</v>
      </c>
      <c r="K3" s="14" t="s"/>
      <c r="L3" s="21" t="s">
        <v>86</v>
      </c>
      <c r="M3" s="22">
        <v>10</v>
      </c>
    </row>
    <row r="4" spans="1:13">
      <c r="A4" s="18" t="s">
        <v>87</v>
      </c>
      <c r="B4" s="23" t="s"/>
      <c r="C4" s="20" t="s">
        <v>88</v>
      </c>
      <c r="D4" s="21" t="s">
        <v>82</v>
      </c>
      <c r="E4" s="14" t="s"/>
      <c r="F4" s="14" t="s"/>
      <c r="H4" s="18" t="s">
        <v>89</v>
      </c>
      <c r="I4" s="23" t="s"/>
      <c r="J4" s="20" t="s">
        <v>90</v>
      </c>
      <c r="K4" s="14" t="s"/>
      <c r="L4" s="21" t="s">
        <v>86</v>
      </c>
      <c r="M4" s="24" t="s"/>
    </row>
    <row r="5" spans="1:13">
      <c r="A5" s="18" t="s">
        <v>91</v>
      </c>
      <c r="B5" s="19" t="s">
        <v>92</v>
      </c>
      <c r="C5" s="20" t="s">
        <v>93</v>
      </c>
      <c r="D5" s="14" t="s"/>
      <c r="E5" s="21" t="s">
        <v>86</v>
      </c>
      <c r="F5" s="25">
        <v>6</v>
      </c>
      <c r="H5" s="18" t="s">
        <v>94</v>
      </c>
      <c r="I5" s="23" t="s"/>
      <c r="J5" s="20" t="s">
        <v>95</v>
      </c>
      <c r="K5" s="14" t="s"/>
      <c r="L5" s="21" t="s">
        <v>86</v>
      </c>
      <c r="M5" s="26" t="s"/>
    </row>
    <row r="6" spans="1:13">
      <c r="A6" s="18" t="s">
        <v>96</v>
      </c>
      <c r="B6" s="23" t="s"/>
      <c r="C6" s="20" t="s">
        <v>97</v>
      </c>
      <c r="D6" s="14" t="s"/>
      <c r="E6" s="21" t="s">
        <v>86</v>
      </c>
      <c r="F6" s="27" t="s"/>
      <c r="H6" s="18" t="s">
        <v>98</v>
      </c>
      <c r="I6" s="23" t="s"/>
      <c r="J6" s="20" t="s">
        <v>99</v>
      </c>
      <c r="K6" s="14" t="s"/>
      <c r="L6" s="21" t="s">
        <v>86</v>
      </c>
      <c r="M6" s="27" t="s"/>
    </row>
    <row r="7" spans="1:13">
      <c r="A7" s="18" t="s">
        <v>100</v>
      </c>
      <c r="B7" s="23" t="s"/>
      <c r="C7" s="20" t="s">
        <v>101</v>
      </c>
      <c r="D7" s="14" t="s"/>
      <c r="E7" s="21" t="s">
        <v>86</v>
      </c>
      <c r="F7" s="27" t="s"/>
      <c r="H7" s="18" t="s">
        <v>102</v>
      </c>
      <c r="I7" s="23" t="s"/>
      <c r="J7" s="20" t="s">
        <v>103</v>
      </c>
      <c r="K7" s="14" t="s"/>
      <c r="L7" s="21" t="s">
        <v>86</v>
      </c>
      <c r="M7" s="28" t="s"/>
    </row>
    <row r="8" spans="1:13">
      <c r="A8" s="18" t="s">
        <v>104</v>
      </c>
      <c r="B8" s="23" t="s"/>
      <c r="C8" s="20" t="s">
        <v>105</v>
      </c>
      <c r="D8" s="14" t="s"/>
      <c r="E8" s="21" t="s">
        <v>86</v>
      </c>
      <c r="F8" s="27" t="s"/>
      <c r="H8" s="18" t="s">
        <v>106</v>
      </c>
      <c r="I8" s="19" t="s">
        <v>107</v>
      </c>
      <c r="J8" s="20" t="s">
        <v>108</v>
      </c>
      <c r="K8" s="14" t="s"/>
      <c r="L8" s="21" t="s">
        <v>86</v>
      </c>
      <c r="M8" s="29">
        <v>18</v>
      </c>
    </row>
    <row r="9" spans="1:13">
      <c r="A9" s="18" t="s">
        <v>109</v>
      </c>
      <c r="B9" s="23" t="s"/>
      <c r="C9" s="20" t="s">
        <v>110</v>
      </c>
      <c r="D9" s="14" t="s"/>
      <c r="E9" s="21" t="s">
        <v>86</v>
      </c>
      <c r="F9" s="27" t="s"/>
      <c r="H9" s="18" t="s">
        <v>111</v>
      </c>
      <c r="I9" s="23" t="s"/>
      <c r="J9" s="20" t="s">
        <v>112</v>
      </c>
      <c r="K9" s="14" t="s"/>
      <c r="L9" s="21" t="s">
        <v>86</v>
      </c>
      <c r="M9" s="27" t="s"/>
    </row>
    <row r="10" spans="1:13">
      <c r="A10" s="18" t="s">
        <v>113</v>
      </c>
      <c r="B10" s="23" t="s"/>
      <c r="C10" s="20" t="s">
        <v>114</v>
      </c>
      <c r="D10" s="14" t="s"/>
      <c r="E10" s="21" t="s">
        <v>86</v>
      </c>
      <c r="F10" s="30" t="s"/>
      <c r="H10" s="18" t="s">
        <v>115</v>
      </c>
      <c r="I10" s="23" t="s"/>
      <c r="J10" s="20" t="s">
        <v>116</v>
      </c>
      <c r="K10" s="14" t="s"/>
      <c r="L10" s="21" t="s">
        <v>86</v>
      </c>
      <c r="M10" s="30" t="s"/>
    </row>
    <row r="11" spans="1:13">
      <c r="A11" s="18" t="s">
        <v>117</v>
      </c>
      <c r="B11" s="23" t="s"/>
      <c r="C11" s="20" t="s">
        <v>118</v>
      </c>
      <c r="D11" s="14" t="s"/>
      <c r="E11" s="21" t="s">
        <v>86</v>
      </c>
      <c r="F11" s="14">
        <v>3</v>
      </c>
      <c r="H11" s="18" t="s">
        <v>119</v>
      </c>
      <c r="I11" s="23" t="s"/>
      <c r="J11" s="20" t="s">
        <v>120</v>
      </c>
      <c r="K11" s="14" t="s"/>
      <c r="L11" s="21" t="s">
        <v>86</v>
      </c>
      <c r="M11" s="31" t="s"/>
    </row>
    <row r="12" spans="1:13">
      <c r="A12" s="18" t="s">
        <v>121</v>
      </c>
      <c r="B12" s="19" t="s">
        <v>122</v>
      </c>
      <c r="C12" s="32" t="s">
        <v>123</v>
      </c>
      <c r="D12" s="21" t="s">
        <v>82</v>
      </c>
      <c r="E12" s="14" t="s"/>
      <c r="F12" s="14" t="s"/>
      <c r="H12" s="18" t="s">
        <v>121</v>
      </c>
      <c r="I12" s="19" t="s">
        <v>124</v>
      </c>
      <c r="J12" s="20" t="s">
        <v>125</v>
      </c>
      <c r="K12" s="14" t="s"/>
      <c r="L12" s="21" t="s">
        <v>86</v>
      </c>
      <c r="M12" s="22">
        <v>10</v>
      </c>
    </row>
    <row r="13" spans="1:13">
      <c r="A13" s="18" t="s">
        <v>126</v>
      </c>
      <c r="B13" s="23" t="s"/>
      <c r="C13" s="32" t="s">
        <v>127</v>
      </c>
      <c r="D13" s="21" t="s">
        <v>82</v>
      </c>
      <c r="E13" s="14" t="s"/>
      <c r="F13" s="14" t="s"/>
      <c r="H13" s="18" t="s">
        <v>126</v>
      </c>
      <c r="I13" s="23" t="s"/>
      <c r="J13" s="20" t="s">
        <v>128</v>
      </c>
      <c r="K13" s="14" t="s"/>
      <c r="L13" s="21" t="s">
        <v>86</v>
      </c>
      <c r="M13" s="24" t="s"/>
    </row>
    <row r="14" spans="1:13">
      <c r="A14" s="18" t="s">
        <v>129</v>
      </c>
      <c r="B14" s="23" t="s"/>
      <c r="C14" s="32" t="s">
        <v>130</v>
      </c>
      <c r="D14" s="21" t="s">
        <v>82</v>
      </c>
      <c r="E14" s="14" t="s"/>
      <c r="F14" s="14" t="s"/>
      <c r="H14" s="18" t="s">
        <v>129</v>
      </c>
      <c r="I14" s="23" t="s"/>
      <c r="J14" s="20" t="s">
        <v>131</v>
      </c>
      <c r="K14" s="14" t="s"/>
      <c r="L14" s="21" t="s">
        <v>86</v>
      </c>
      <c r="M14" s="24" t="s"/>
    </row>
    <row r="15" spans="1:13">
      <c r="A15" s="18" t="s">
        <v>132</v>
      </c>
      <c r="B15" s="19" t="s">
        <v>133</v>
      </c>
      <c r="C15" s="20" t="s">
        <v>134</v>
      </c>
      <c r="D15" s="21" t="s">
        <v>82</v>
      </c>
      <c r="E15" s="14" t="s"/>
      <c r="F15" s="14" t="s"/>
      <c r="H15" s="18" t="s">
        <v>132</v>
      </c>
      <c r="I15" s="23" t="s"/>
      <c r="J15" s="20" t="s">
        <v>135</v>
      </c>
      <c r="K15" s="14" t="s"/>
      <c r="L15" s="21" t="s">
        <v>86</v>
      </c>
      <c r="M15" s="24" t="s"/>
    </row>
    <row r="16" spans="1:13">
      <c r="A16" s="18" t="s">
        <v>136</v>
      </c>
      <c r="B16" s="23" t="s"/>
      <c r="C16" s="20" t="s">
        <v>90</v>
      </c>
      <c r="D16" s="21" t="s">
        <v>82</v>
      </c>
      <c r="E16" s="14" t="s"/>
      <c r="F16" s="14" t="s"/>
      <c r="H16" s="18" t="s">
        <v>136</v>
      </c>
      <c r="I16" s="23" t="s"/>
      <c r="J16" s="20" t="s">
        <v>137</v>
      </c>
      <c r="K16" s="14" t="s"/>
      <c r="L16" s="21" t="s">
        <v>86</v>
      </c>
      <c r="M16" s="24" t="s"/>
    </row>
    <row r="17" spans="1:13">
      <c r="A17" s="18" t="s">
        <v>138</v>
      </c>
      <c r="B17" s="23" t="s"/>
      <c r="C17" s="20" t="s">
        <v>99</v>
      </c>
      <c r="D17" s="14" t="s"/>
      <c r="E17" s="21" t="s">
        <v>86</v>
      </c>
      <c r="F17" s="14">
        <v>0.5</v>
      </c>
      <c r="H17" s="18" t="s">
        <v>138</v>
      </c>
      <c r="I17" s="23" t="s"/>
      <c r="J17" s="20" t="s">
        <v>139</v>
      </c>
      <c r="K17" s="14" t="s"/>
      <c r="L17" s="21" t="s">
        <v>86</v>
      </c>
      <c r="M17" s="24" t="s"/>
    </row>
    <row r="18" spans="1:13">
      <c r="A18" s="18" t="s">
        <v>140</v>
      </c>
      <c r="B18" s="23" t="s"/>
      <c r="C18" s="20" t="s">
        <v>141</v>
      </c>
      <c r="D18" s="14" t="s"/>
      <c r="E18" s="21" t="s">
        <v>86</v>
      </c>
      <c r="F18" s="14">
        <v>0.5</v>
      </c>
      <c r="H18" s="18" t="s">
        <v>140</v>
      </c>
      <c r="I18" s="23" t="s"/>
      <c r="J18" s="20" t="s">
        <v>142</v>
      </c>
      <c r="K18" s="14" t="s"/>
      <c r="L18" s="21" t="s">
        <v>86</v>
      </c>
      <c r="M18" s="24" t="s"/>
    </row>
    <row r="19" spans="1:13">
      <c r="A19" s="18" t="s">
        <v>143</v>
      </c>
      <c r="B19" s="19" t="s">
        <v>144</v>
      </c>
      <c r="C19" s="20" t="s">
        <v>145</v>
      </c>
      <c r="D19" s="21" t="s">
        <v>82</v>
      </c>
      <c r="E19" s="14" t="s"/>
      <c r="F19" s="14" t="s"/>
      <c r="H19" s="18" t="s">
        <v>143</v>
      </c>
      <c r="I19" s="23" t="s"/>
      <c r="J19" s="20" t="s">
        <v>146</v>
      </c>
      <c r="K19" s="14" t="s"/>
      <c r="L19" s="21" t="s">
        <v>86</v>
      </c>
      <c r="M19" s="24" t="s"/>
    </row>
    <row r="20" spans="1:13">
      <c r="A20" s="18" t="s">
        <v>147</v>
      </c>
      <c r="B20" s="23" t="s"/>
      <c r="C20" s="20" t="s">
        <v>148</v>
      </c>
      <c r="D20" s="21" t="s">
        <v>82</v>
      </c>
      <c r="E20" s="14" t="s"/>
      <c r="F20" s="14" t="s"/>
      <c r="H20" s="18" t="s">
        <v>147</v>
      </c>
      <c r="I20" s="23" t="s"/>
      <c r="J20" s="20" t="s">
        <v>149</v>
      </c>
      <c r="K20" s="14" t="s"/>
      <c r="L20" s="21" t="s">
        <v>86</v>
      </c>
      <c r="M20" s="31" t="s"/>
    </row>
    <row r="21" spans="1:13">
      <c r="A21" s="18" t="s">
        <v>150</v>
      </c>
      <c r="B21" s="23" t="s"/>
      <c r="C21" s="20" t="s">
        <v>151</v>
      </c>
      <c r="D21" s="21" t="s">
        <v>82</v>
      </c>
      <c r="E21" s="14" t="s"/>
      <c r="F21" s="14" t="s"/>
      <c r="H21" s="18" t="s">
        <v>150</v>
      </c>
      <c r="I21" s="19" t="s">
        <v>152</v>
      </c>
      <c r="J21" s="20" t="s">
        <v>152</v>
      </c>
      <c r="K21" s="21" t="s">
        <v>82</v>
      </c>
      <c r="L21" s="14" t="s"/>
      <c r="M21" s="14" t="s"/>
    </row>
    <row r="22" spans="1:13">
      <c r="A22" s="18" t="s">
        <v>153</v>
      </c>
      <c r="B22" s="23" t="s"/>
      <c r="C22" s="20" t="s">
        <v>154</v>
      </c>
      <c r="D22" s="21" t="s"/>
      <c r="E22" s="21" t="s">
        <v>86</v>
      </c>
      <c r="F22" s="14">
        <v>5</v>
      </c>
      <c r="H22" s="18" t="s">
        <v>153</v>
      </c>
      <c r="I22" s="19" t="s">
        <v>155</v>
      </c>
      <c r="J22" s="20" t="s">
        <v>155</v>
      </c>
      <c r="K22" s="21" t="s">
        <v>82</v>
      </c>
      <c r="L22" s="14" t="s"/>
      <c r="M22" s="14" t="s"/>
    </row>
    <row r="23" spans="1:13">
      <c r="A23" s="18" t="s">
        <v>156</v>
      </c>
      <c r="B23" s="23" t="s"/>
      <c r="C23" s="20" t="s">
        <v>157</v>
      </c>
      <c r="D23" s="21" t="s">
        <v>82</v>
      </c>
      <c r="E23" s="14" t="s"/>
      <c r="F23" s="14" t="s"/>
      <c r="H23" s="18" t="s">
        <v>156</v>
      </c>
      <c r="I23" s="19" t="s">
        <v>127</v>
      </c>
      <c r="J23" s="20" t="s">
        <v>127</v>
      </c>
      <c r="K23" s="21" t="s">
        <v>82</v>
      </c>
      <c r="L23" s="14" t="s"/>
      <c r="M23" s="14" t="s"/>
    </row>
    <row r="24" spans="1:13">
      <c r="A24" s="18" t="s">
        <v>158</v>
      </c>
      <c r="B24" s="23" t="s"/>
      <c r="C24" s="20" t="s">
        <v>159</v>
      </c>
      <c r="D24" s="21" t="s">
        <v>82</v>
      </c>
      <c r="E24" s="14" t="s"/>
      <c r="F24" s="14" t="s"/>
      <c r="H24" s="18" t="s">
        <v>158</v>
      </c>
      <c r="I24" s="19" t="s">
        <v>160</v>
      </c>
      <c r="J24" s="20" t="s">
        <v>161</v>
      </c>
      <c r="K24" s="21" t="s">
        <v>82</v>
      </c>
      <c r="L24" s="14" t="s"/>
      <c r="M24" s="14" t="s"/>
    </row>
    <row r="25" spans="1:13">
      <c r="A25" s="18" t="s">
        <v>162</v>
      </c>
      <c r="B25" s="23" t="s"/>
      <c r="C25" s="20" t="s">
        <v>163</v>
      </c>
      <c r="D25" s="21" t="s">
        <v>82</v>
      </c>
      <c r="E25" s="14" t="s"/>
      <c r="F25" s="14" t="s"/>
      <c r="H25" s="18" t="s">
        <v>162</v>
      </c>
      <c r="I25" s="23" t="s"/>
      <c r="J25" s="20" t="s">
        <v>164</v>
      </c>
      <c r="K25" s="21" t="s">
        <v>82</v>
      </c>
      <c r="L25" s="14" t="s"/>
      <c r="M25" s="14" t="s"/>
    </row>
    <row r="26" spans="1:13">
      <c r="A26" s="18" t="s">
        <v>165</v>
      </c>
      <c r="B26" s="19" t="s">
        <v>166</v>
      </c>
      <c r="C26" s="20" t="s">
        <v>167</v>
      </c>
      <c r="D26" s="21" t="s">
        <v>82</v>
      </c>
      <c r="E26" s="14" t="s"/>
      <c r="F26" s="14" t="s"/>
      <c r="H26" s="18" t="s">
        <v>168</v>
      </c>
      <c r="I26" s="19" t="s">
        <v>18</v>
      </c>
      <c r="J26" s="20" t="s">
        <v>90</v>
      </c>
      <c r="K26" s="21" t="s">
        <v>82</v>
      </c>
      <c r="L26" s="14" t="s"/>
      <c r="M26" s="14" t="s"/>
    </row>
    <row r="27" spans="1:13">
      <c r="A27" s="18" t="s">
        <v>169</v>
      </c>
      <c r="B27" s="19" t="s">
        <v>170</v>
      </c>
      <c r="C27" s="20" t="s">
        <v>171</v>
      </c>
      <c r="D27" s="14" t="s"/>
      <c r="E27" s="14" t="s"/>
      <c r="F27" s="22">
        <v>0.5</v>
      </c>
      <c r="H27" s="18" t="s">
        <v>172</v>
      </c>
      <c r="I27" s="23" t="s"/>
      <c r="J27" s="20" t="s">
        <v>152</v>
      </c>
      <c r="K27" s="21" t="s">
        <v>82</v>
      </c>
      <c r="L27" s="14" t="s"/>
      <c r="M27" s="14" t="s"/>
    </row>
    <row r="28" spans="1:13">
      <c r="A28" s="18" t="s">
        <v>173</v>
      </c>
      <c r="B28" s="23" t="s"/>
      <c r="C28" s="20" t="s">
        <v>174</v>
      </c>
      <c r="D28" s="14" t="s"/>
      <c r="E28" s="14" t="s"/>
      <c r="F28" s="31" t="s"/>
      <c r="H28" s="18" t="s">
        <v>175</v>
      </c>
      <c r="I28" s="23" t="s"/>
      <c r="J28" s="20" t="s">
        <v>155</v>
      </c>
      <c r="K28" s="21" t="s">
        <v>82</v>
      </c>
      <c r="L28" s="14" t="s"/>
      <c r="M28" s="14" t="s"/>
    </row>
    <row r="29" spans="1:13">
      <c r="A29" s="18" t="s">
        <v>176</v>
      </c>
      <c r="B29" s="33" t="s">
        <v>177</v>
      </c>
      <c r="C29" s="20" t="s">
        <v>178</v>
      </c>
      <c r="D29" s="21" t="s">
        <v>82</v>
      </c>
      <c r="E29" s="14" t="s"/>
      <c r="F29" s="14" t="s"/>
      <c r="H29" s="18" t="s">
        <v>179</v>
      </c>
      <c r="I29" s="23" t="s"/>
      <c r="J29" s="20" t="s">
        <v>127</v>
      </c>
      <c r="K29" s="21" t="s">
        <v>82</v>
      </c>
      <c r="L29" s="14" t="s"/>
      <c r="M29" s="14" t="s"/>
    </row>
    <row r="30" spans="1:13">
      <c r="A30" s="18" t="s">
        <v>180</v>
      </c>
      <c r="B30" s="34" t="s"/>
      <c r="C30" s="20" t="s">
        <v>181</v>
      </c>
      <c r="D30" s="21" t="s">
        <v>82</v>
      </c>
      <c r="E30" s="14" t="s"/>
      <c r="F30" s="14" t="s"/>
      <c r="H30" s="18" t="s">
        <v>182</v>
      </c>
      <c r="I30" s="23" t="s"/>
      <c r="J30" s="20" t="s">
        <v>183</v>
      </c>
      <c r="K30" s="21" t="s">
        <v>82</v>
      </c>
      <c r="L30" s="14" t="s"/>
      <c r="M30" s="14" t="s"/>
    </row>
    <row r="31" spans="1:13">
      <c r="A31" s="18" t="s">
        <v>184</v>
      </c>
      <c r="B31" s="34" t="s"/>
      <c r="C31" s="20" t="s">
        <v>185</v>
      </c>
      <c r="D31" s="21" t="s">
        <v>82</v>
      </c>
      <c r="E31" s="14" t="s"/>
      <c r="F31" s="14" t="s"/>
      <c r="H31" s="18" t="s">
        <v>186</v>
      </c>
      <c r="I31" s="23" t="s"/>
      <c r="J31" s="20" t="s">
        <v>164</v>
      </c>
      <c r="K31" s="21" t="s">
        <v>82</v>
      </c>
      <c r="L31" s="14" t="s"/>
      <c r="M31" s="14" t="s"/>
    </row>
    <row r="32" spans="1:13">
      <c r="A32" s="18" t="s">
        <v>187</v>
      </c>
      <c r="B32" s="34" t="s"/>
      <c r="C32" s="20" t="s">
        <v>188</v>
      </c>
      <c r="D32" s="21" t="s"/>
      <c r="E32" s="14" t="s"/>
      <c r="F32" s="14">
        <v>0.5</v>
      </c>
      <c r="H32" s="18" t="s">
        <v>189</v>
      </c>
      <c r="I32" s="23" t="s"/>
      <c r="J32" s="20" t="s">
        <v>190</v>
      </c>
      <c r="K32" s="21" t="s">
        <v>82</v>
      </c>
      <c r="L32" s="14" t="s"/>
      <c r="M32" s="14" t="s"/>
    </row>
    <row r="33" spans="1:13">
      <c r="A33" s="18" t="s">
        <v>191</v>
      </c>
      <c r="B33" s="35" t="s"/>
      <c r="C33" s="20" t="s">
        <v>192</v>
      </c>
      <c r="D33" s="21" t="s">
        <v>82</v>
      </c>
      <c r="E33" s="14" t="s"/>
      <c r="F33" s="14" t="s"/>
      <c r="H33" s="18" t="s">
        <v>193</v>
      </c>
      <c r="I33" s="23" t="s"/>
      <c r="J33" s="20" t="s">
        <v>194</v>
      </c>
      <c r="K33" s="21" t="s">
        <v>82</v>
      </c>
      <c r="L33" s="14" t="s"/>
      <c r="M33" s="14" t="s"/>
    </row>
    <row r="34" spans="1:13">
      <c r="A34" s="18" t="s">
        <v>195</v>
      </c>
      <c r="B34" s="19" t="s">
        <v>196</v>
      </c>
      <c r="C34" s="20" t="s">
        <v>197</v>
      </c>
      <c r="D34" s="21" t="s">
        <v>82</v>
      </c>
      <c r="E34" s="14" t="s"/>
      <c r="F34" s="14" t="s"/>
      <c r="H34" s="18" t="s">
        <v>198</v>
      </c>
      <c r="I34" s="19" t="s">
        <v>199</v>
      </c>
      <c r="J34" s="20" t="s">
        <v>200</v>
      </c>
      <c r="K34" s="14" t="s"/>
      <c r="L34" s="21" t="s">
        <v>86</v>
      </c>
      <c r="M34" s="22">
        <v>4</v>
      </c>
    </row>
    <row r="35" spans="1:13">
      <c r="A35" s="18" t="s">
        <v>201</v>
      </c>
      <c r="B35" s="23" t="s"/>
      <c r="C35" s="20" t="s">
        <v>202</v>
      </c>
      <c r="D35" s="21" t="s">
        <v>82</v>
      </c>
      <c r="E35" s="14" t="s"/>
      <c r="F35" s="14" t="s"/>
      <c r="H35" s="18" t="s">
        <v>165</v>
      </c>
      <c r="I35" s="23" t="s"/>
      <c r="J35" s="20" t="s">
        <v>203</v>
      </c>
      <c r="K35" s="14" t="s"/>
      <c r="L35" s="21" t="s">
        <v>86</v>
      </c>
      <c r="M35" s="24" t="s"/>
    </row>
    <row r="36" spans="1:13">
      <c r="A36" s="18" t="s">
        <v>204</v>
      </c>
      <c r="B36" s="23" t="s"/>
      <c r="C36" s="20" t="s">
        <v>205</v>
      </c>
      <c r="D36" s="21" t="s">
        <v>82</v>
      </c>
      <c r="E36" s="14" t="s"/>
      <c r="F36" s="14" t="s"/>
      <c r="H36" s="18" t="s">
        <v>169</v>
      </c>
      <c r="I36" s="23" t="s"/>
      <c r="J36" s="20" t="s">
        <v>206</v>
      </c>
      <c r="K36" s="14" t="s"/>
      <c r="L36" s="21" t="s">
        <v>86</v>
      </c>
      <c r="M36" s="24" t="s"/>
    </row>
    <row r="37" spans="1:13">
      <c r="A37" s="18" t="s">
        <v>207</v>
      </c>
      <c r="H37" s="18" t="s">
        <v>173</v>
      </c>
      <c r="I37" s="23" t="s"/>
      <c r="J37" s="20" t="s">
        <v>208</v>
      </c>
      <c r="K37" s="14" t="s"/>
      <c r="L37" s="21" t="s">
        <v>86</v>
      </c>
      <c r="M37" s="24" t="s"/>
    </row>
    <row r="38" spans="1:13">
      <c r="A38" s="18" t="s">
        <v>209</v>
      </c>
      <c r="H38" s="18" t="s">
        <v>176</v>
      </c>
      <c r="I38" s="23" t="s"/>
      <c r="J38" s="20" t="s">
        <v>210</v>
      </c>
      <c r="K38" s="14" t="s"/>
      <c r="L38" s="21" t="s">
        <v>86</v>
      </c>
      <c r="M38" s="24" t="s"/>
    </row>
    <row r="39" spans="1:13">
      <c r="A39" s="18" t="s">
        <v>211</v>
      </c>
      <c r="H39" s="18" t="s">
        <v>180</v>
      </c>
      <c r="I39" s="23" t="s"/>
      <c r="J39" s="20" t="s">
        <v>212</v>
      </c>
      <c r="K39" s="14" t="s"/>
      <c r="L39" s="21" t="s">
        <v>86</v>
      </c>
      <c r="M39" s="31" t="s"/>
    </row>
    <row r="40" spans="1:13">
      <c r="A40" s="18" t="s">
        <v>213</v>
      </c>
      <c r="H40" s="18" t="s">
        <v>184</v>
      </c>
      <c r="I40" s="19" t="s">
        <v>214</v>
      </c>
      <c r="J40" s="20" t="s">
        <v>215</v>
      </c>
      <c r="K40" s="21" t="s">
        <v>82</v>
      </c>
      <c r="L40" s="14" t="s"/>
      <c r="M40" s="14" t="s"/>
    </row>
    <row r="41" spans="1:13">
      <c r="A41" s="18" t="s">
        <v>216</v>
      </c>
      <c r="H41" s="18" t="s">
        <v>187</v>
      </c>
      <c r="I41" s="23" t="s"/>
      <c r="J41" s="20" t="s">
        <v>217</v>
      </c>
      <c r="K41" s="21" t="s">
        <v>82</v>
      </c>
      <c r="L41" s="14" t="s"/>
      <c r="M41" s="14" t="s"/>
    </row>
    <row r="42" spans="1:13">
      <c r="A42" s="18" t="s">
        <v>218</v>
      </c>
      <c r="H42" s="18" t="s">
        <v>191</v>
      </c>
      <c r="I42" s="23" t="s"/>
      <c r="J42" s="20" t="s">
        <v>219</v>
      </c>
      <c r="K42" s="21" t="s">
        <v>82</v>
      </c>
      <c r="L42" s="14" t="s"/>
      <c r="M42" s="14" t="s"/>
    </row>
    <row r="43" spans="1:13">
      <c r="A43" s="18" t="s">
        <v>220</v>
      </c>
      <c r="H43" s="18" t="s">
        <v>221</v>
      </c>
      <c r="I43" s="23" t="s"/>
      <c r="J43" s="20" t="s">
        <v>222</v>
      </c>
      <c r="K43" s="21" t="s">
        <v>82</v>
      </c>
      <c r="L43" s="14" t="s"/>
      <c r="M43" s="14" t="s"/>
    </row>
    <row r="44" spans="1:1">
      <c r="A44" s="18" t="s">
        <v>223</v>
      </c>
    </row>
    <row r="45" spans="1:1">
      <c r="A45" s="18" t="s">
        <v>224</v>
      </c>
    </row>
    <row r="46" spans="1:1">
      <c r="A46" s="18" t="s">
        <v>225</v>
      </c>
    </row>
    <row r="47" spans="1:1">
      <c r="A47" s="18" t="s">
        <v>226</v>
      </c>
    </row>
    <row r="48" spans="1:1">
      <c r="A48" s="18" t="s">
        <v>227</v>
      </c>
    </row>
    <row r="49" spans="1:1">
      <c r="A49" s="18" t="s">
        <v>228</v>
      </c>
    </row>
    <row r="50" spans="1:1">
      <c r="A50" s="18" t="s">
        <v>229</v>
      </c>
    </row>
    <row r="51" spans="1:1">
      <c r="A51" s="18" t="s">
        <v>230</v>
      </c>
    </row>
    <row r="52" spans="1:1">
      <c r="A52" s="18" t="s">
        <v>231</v>
      </c>
    </row>
    <row r="53" spans="1:1">
      <c r="A53" s="18" t="s">
        <v>232</v>
      </c>
    </row>
    <row r="54" spans="1:1">
      <c r="A54" s="18" t="s">
        <v>233</v>
      </c>
    </row>
    <row r="55" spans="1:1">
      <c r="A55" s="18" t="s">
        <v>234</v>
      </c>
    </row>
    <row r="56" spans="1:1">
      <c r="A56" s="18" t="s">
        <v>235</v>
      </c>
    </row>
    <row r="57" spans="1:1">
      <c r="A57" s="18" t="s">
        <v>236</v>
      </c>
    </row>
    <row r="58" spans="1:1">
      <c r="A58" s="18" t="s">
        <v>237</v>
      </c>
    </row>
  </sheetData>
  <mergeCells count="21">
    <mergeCell ref="B3:B4"/>
    <mergeCell ref="B5:B11"/>
    <mergeCell ref="F5:F10"/>
    <mergeCell ref="B12:B14"/>
    <mergeCell ref="B15:B18"/>
    <mergeCell ref="B19:B25"/>
    <mergeCell ref="B27:B28"/>
    <mergeCell ref="F27:F28"/>
    <mergeCell ref="B29:B33"/>
    <mergeCell ref="B34:B36"/>
    <mergeCell ref="I3:I7"/>
    <mergeCell ref="M3:M7"/>
    <mergeCell ref="I8:I11"/>
    <mergeCell ref="M8:M11"/>
    <mergeCell ref="I12:I20"/>
    <mergeCell ref="M12:M20"/>
    <mergeCell ref="I24:I25"/>
    <mergeCell ref="I26:I33"/>
    <mergeCell ref="I34:I39"/>
    <mergeCell ref="M34:M39"/>
    <mergeCell ref="I40:I43"/>
  </mergeCells>
</worksheet>
</file>

<file path=xl/worksheets/sheet8.xml><?xml version="1.0" encoding="utf-8"?>
<worksheet xmlns="http://schemas.openxmlformats.org/spreadsheetml/2006/main">
  <sheetPr>
    <tabColor/>
  </sheetPr>
  <dimension ref="H13"/>
  <sheetViews>
    <sheetView showGridLines="true" workbookViewId="0"/>
  </sheetViews>
  <sheetFormatPr baseColWidth="13" defaultRowHeight="18" customHeight="true"/>
  <cols>
    <col min="1" max="1" width="19.1523" customWidth="true"/>
    <col min="8" max="8" width="22.9336" customWidth="true"/>
  </cols>
  <sheetData>
    <row r="1" spans="1:8">
      <c r="A1" s="12" t="s">
        <v>27</v>
      </c>
      <c r="B1" s="13" t="s">
        <v>28</v>
      </c>
      <c r="C1" s="13" t="s">
        <v>29</v>
      </c>
      <c r="D1" s="13" t="s">
        <v>30</v>
      </c>
      <c r="E1" s="13" t="s">
        <v>31</v>
      </c>
      <c r="F1" s="13" t="s">
        <v>32</v>
      </c>
      <c r="G1" s="13" t="s">
        <v>33</v>
      </c>
      <c r="H1" s="13" t="s">
        <v>34</v>
      </c>
    </row>
    <row r="2" spans="1:8">
      <c r="A2" s="13" t="s">
        <v>35</v>
      </c>
      <c r="B2" s="12" t="s">
        <v>36</v>
      </c>
      <c r="C2" s="12" t="s">
        <v>36</v>
      </c>
      <c r="D2" s="12" t="s">
        <v>37</v>
      </c>
      <c r="E2" s="14" t="s"/>
      <c r="F2" s="14" t="s"/>
      <c r="G2" s="12" t="s"/>
      <c r="H2" s="12" t="s">
        <v>38</v>
      </c>
    </row>
    <row r="3" spans="1:8">
      <c r="A3" s="13" t="s">
        <v>39</v>
      </c>
      <c r="B3" s="12" t="s">
        <v>40</v>
      </c>
      <c r="C3" s="14" t="s">
        <v>41</v>
      </c>
      <c r="D3" s="12" t="s">
        <v>42</v>
      </c>
      <c r="E3" s="12" t="s">
        <v>43</v>
      </c>
      <c r="F3" s="12" t="s"/>
      <c r="G3" s="12" t="s"/>
      <c r="H3" s="12" t="s">
        <v>44</v>
      </c>
    </row>
    <row r="4" spans="1:8">
      <c r="A4" s="13" t="s">
        <v>45</v>
      </c>
      <c r="B4" s="12" t="s"/>
      <c r="C4" s="12" t="s"/>
      <c r="D4" s="12" t="s"/>
      <c r="E4" s="12" t="s"/>
      <c r="F4" s="12" t="s"/>
      <c r="G4" s="12" t="s"/>
      <c r="H4" s="12" t="s">
        <v>46</v>
      </c>
    </row>
    <row r="5" spans="1:8">
      <c r="A5" s="13" t="s">
        <v>47</v>
      </c>
      <c r="B5" s="12" t="s"/>
      <c r="C5" s="12" t="s">
        <v>36</v>
      </c>
      <c r="D5" s="12" t="s"/>
      <c r="E5" s="12" t="s"/>
      <c r="F5" s="12" t="s">
        <v>48</v>
      </c>
      <c r="G5" s="14" t="s"/>
      <c r="H5" s="12" t="s">
        <v>49</v>
      </c>
    </row>
    <row r="6" spans="1:8">
      <c r="A6" s="13" t="s">
        <v>50</v>
      </c>
      <c r="B6" s="12" t="s"/>
      <c r="C6" s="12" t="s">
        <v>36</v>
      </c>
      <c r="D6" s="14" t="s"/>
      <c r="E6" s="12" t="s">
        <v>51</v>
      </c>
      <c r="F6" s="12" t="s"/>
      <c r="G6" s="12" t="s"/>
      <c r="H6" s="12" t="s">
        <v>52</v>
      </c>
    </row>
    <row r="7" spans="1:8">
      <c r="A7" s="13" t="s">
        <v>53</v>
      </c>
      <c r="B7" s="12" t="s"/>
      <c r="C7" s="12" t="s"/>
      <c r="D7" s="14" t="s"/>
      <c r="E7" s="12" t="s"/>
      <c r="F7" s="12" t="s">
        <v>54</v>
      </c>
      <c r="G7" s="12" t="s"/>
      <c r="H7" s="12" t="s">
        <v>55</v>
      </c>
    </row>
    <row r="8" spans="1:8">
      <c r="A8" s="13" t="s">
        <v>56</v>
      </c>
      <c r="B8" s="12" t="s">
        <v>57</v>
      </c>
      <c r="C8" s="12" t="s">
        <v>36</v>
      </c>
      <c r="D8" s="14" t="s"/>
      <c r="E8" s="12" t="s"/>
      <c r="F8" s="12" t="s"/>
      <c r="G8" s="12" t="s"/>
      <c r="H8" s="12" t="s">
        <v>58</v>
      </c>
    </row>
    <row r="9" spans="1:8">
      <c r="A9" s="13" t="s">
        <v>59</v>
      </c>
      <c r="B9" s="12" t="s"/>
      <c r="C9" s="12" t="s"/>
      <c r="D9" s="12" t="s">
        <v>37</v>
      </c>
      <c r="E9" s="12" t="s">
        <v>60</v>
      </c>
      <c r="F9" s="14" t="s"/>
      <c r="G9" s="12" t="s"/>
      <c r="H9" s="12" t="s">
        <v>61</v>
      </c>
    </row>
    <row r="10" spans="1:8">
      <c r="A10" s="13" t="s">
        <v>62</v>
      </c>
      <c r="B10" s="12" t="s">
        <v>48</v>
      </c>
      <c r="C10" s="12" t="s">
        <v>36</v>
      </c>
      <c r="D10" s="14" t="s"/>
      <c r="E10" s="12" t="s">
        <v>63</v>
      </c>
      <c r="F10" s="12" t="s">
        <v>54</v>
      </c>
      <c r="G10" s="12" t="s"/>
      <c r="H10" s="12" t="s">
        <v>64</v>
      </c>
    </row>
    <row r="11" spans="1:8">
      <c r="A11" s="13" t="s">
        <v>65</v>
      </c>
      <c r="B11" s="14" t="s"/>
      <c r="C11" s="12" t="s">
        <v>36</v>
      </c>
      <c r="D11" s="12" t="s">
        <v>66</v>
      </c>
      <c r="E11" s="12" t="s">
        <v>63</v>
      </c>
      <c r="F11" s="12" t="s">
        <v>54</v>
      </c>
      <c r="G11" s="14" t="s"/>
      <c r="H11" s="12" t="s">
        <v>67</v>
      </c>
    </row>
    <row r="12" spans="1:8">
      <c r="A12" s="13" t="s">
        <v>68</v>
      </c>
      <c r="B12" s="14" t="s"/>
      <c r="C12" s="12" t="s">
        <v>69</v>
      </c>
      <c r="D12" s="12" t="s">
        <v>70</v>
      </c>
      <c r="E12" s="12" t="s">
        <v>63</v>
      </c>
      <c r="F12" s="12" t="s">
        <v>71</v>
      </c>
      <c r="G12" s="12" t="s"/>
      <c r="H12" s="12" t="s">
        <v>72</v>
      </c>
    </row>
    <row r="13" spans="1:8">
      <c r="A13" s="14" t="s"/>
      <c r="B13" s="14" t="s"/>
      <c r="C13" s="14" t="s"/>
      <c r="D13" s="14" t="s"/>
      <c r="E13" s="14" t="s"/>
      <c r="F13" s="14" t="s"/>
      <c r="G13" s="14" t="s"/>
      <c r="H13" s="14" t="s"/>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2026-03-03T20:31:34Z</dcterms:created>
  <dcterms:modified xsi:type="dcterms:W3CDTF">2026-03-03T20:31:34Z</dcterms:modified>
</cp:coreProperties>
</file>