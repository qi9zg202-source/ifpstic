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ce9d5df5c1cf44a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f01\Alliance-FAC-MM-Logistics-GA-Union\FAC-ME\2运行管理\20.FMCS复建\提资文件\一期\综合管理\"/>
    </mc:Choice>
  </mc:AlternateContent>
  <xr:revisionPtr revIDLastSave="0" documentId="13_ncr:1_{83671B29-425E-4F2B-B999-74AD602263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1" r:id="rId1"/>
  </sheets>
  <definedNames>
    <definedName name="_xlnm._FilterDatabase" localSheetId="0" hidden="1">'2025'!$O$1:$O$10</definedName>
    <definedName name="链接_机械科expense请款追踪表_2024">'2025'!#REF!</definedName>
    <definedName name="链接_水科expense请款追踪表_2022">'2025'!#REF!</definedName>
  </definedNames>
  <calcPr calcId="191029"/>
  <customWorkbookViews>
    <customWorkbookView name="Lei_Wang(王磊) - 个人视图" guid="{1D8AE29F-75B4-4383-A158-6A577C007B92}" mergeInterval="0" personalView="1" maximized="1" xWindow="-8" yWindow="-8" windowWidth="1936" windowHeight="1056" activeSheetId="1" showComments="commIndAndComment"/>
    <customWorkbookView name="GuangPu_Liu(刘光谱) - 个人视图" guid="{0A48DD9A-B30D-460B-9140-08301E578545}" mergeInterval="0" personalView="1" maximized="1" xWindow="-8" yWindow="-8" windowWidth="1936" windowHeight="1056" activeSheetId="1"/>
    <customWorkbookView name="Bo_Wang(王博) - 个人视图" guid="{3D0E8A65-E27F-4DA0-AFF1-0478A9FA9118}" mergeInterval="0" personalView="1" maximized="1" xWindow="-8" yWindow="-8" windowWidth="1936" windowHeight="1056" activeSheetId="1"/>
    <customWorkbookView name="HaiYang_Wang(王海洋) - 个人视图" guid="{B1D0772F-41F2-4B1B-94B7-A7CD7BD5F1EA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J4" i="1" s="1"/>
  <c r="W6" i="1"/>
  <c r="V6" i="1"/>
  <c r="J6" i="1"/>
  <c r="I6" i="1"/>
  <c r="H6" i="1"/>
  <c r="V5" i="1"/>
  <c r="W5" i="1" s="1"/>
  <c r="X5" i="1"/>
  <c r="X6" i="1"/>
  <c r="Z6" i="1" s="1"/>
  <c r="G6" i="1"/>
  <c r="I4" i="1" l="1"/>
  <c r="Z5" i="1"/>
  <c r="Y5" i="1"/>
  <c r="Y6" i="1"/>
  <c r="V4" i="1" l="1"/>
  <c r="W4" i="1" s="1"/>
  <c r="X4" i="1" l="1"/>
  <c r="Z4" i="1" s="1"/>
  <c r="Y4" i="1" l="1"/>
</calcChain>
</file>

<file path=xl/sharedStrings.xml><?xml version="1.0" encoding="utf-8"?>
<sst xmlns="http://schemas.openxmlformats.org/spreadsheetml/2006/main" count="94" uniqueCount="66">
  <si>
    <t>25Z80050E125</t>
  </si>
  <si>
    <t>2025年 配套项目 无尘室&amp;工艺排气系统耗材(日式替代)</t>
  </si>
  <si>
    <r>
      <t>GR</t>
    </r>
    <r>
      <rPr>
        <sz val="11"/>
        <color theme="1"/>
        <rFont val="等线"/>
        <family val="3"/>
        <charset val="134"/>
      </rPr>
      <t>追踪</t>
    </r>
    <phoneticPr fontId="1" type="noConversion"/>
  </si>
  <si>
    <r>
      <rPr>
        <b/>
        <sz val="11"/>
        <color theme="1"/>
        <rFont val="等线"/>
        <family val="3"/>
        <charset val="134"/>
      </rPr>
      <t>实际请款差额</t>
    </r>
    <phoneticPr fontId="1" type="noConversion"/>
  </si>
  <si>
    <r>
      <rPr>
        <sz val="11"/>
        <color theme="1"/>
        <rFont val="等线"/>
        <family val="3"/>
        <charset val="134"/>
      </rPr>
      <t>计划请款金额</t>
    </r>
    <phoneticPr fontId="1" type="noConversion"/>
  </si>
  <si>
    <r>
      <rPr>
        <sz val="11"/>
        <color theme="1"/>
        <rFont val="等线"/>
        <family val="3"/>
        <charset val="134"/>
      </rPr>
      <t>实际请款金额</t>
    </r>
    <phoneticPr fontId="1" type="noConversion"/>
  </si>
  <si>
    <r>
      <rPr>
        <sz val="11"/>
        <color theme="1"/>
        <rFont val="等线"/>
        <family val="3"/>
        <charset val="134"/>
      </rPr>
      <t>计划请款金额</t>
    </r>
  </si>
  <si>
    <r>
      <rPr>
        <sz val="11"/>
        <color theme="1"/>
        <rFont val="等线"/>
        <family val="3"/>
        <charset val="134"/>
      </rPr>
      <t>实际请款金额</t>
    </r>
  </si>
  <si>
    <r>
      <rPr>
        <b/>
        <sz val="11"/>
        <color theme="1"/>
        <rFont val="等线"/>
        <family val="3"/>
        <charset val="134"/>
      </rPr>
      <t>预算项目</t>
    </r>
    <phoneticPr fontId="1" type="noConversion"/>
  </si>
  <si>
    <r>
      <t>PR</t>
    </r>
    <r>
      <rPr>
        <b/>
        <sz val="11"/>
        <color theme="1"/>
        <rFont val="等线"/>
        <family val="3"/>
        <charset val="134"/>
      </rPr>
      <t>追踪表</t>
    </r>
    <phoneticPr fontId="1" type="noConversion"/>
  </si>
  <si>
    <r>
      <t>PO</t>
    </r>
    <r>
      <rPr>
        <b/>
        <sz val="11"/>
        <color theme="1"/>
        <rFont val="等线"/>
        <family val="3"/>
        <charset val="134"/>
      </rPr>
      <t>情况</t>
    </r>
    <phoneticPr fontId="1" type="noConversion"/>
  </si>
  <si>
    <r>
      <rPr>
        <b/>
        <sz val="11"/>
        <color theme="1"/>
        <rFont val="等线"/>
        <family val="3"/>
        <charset val="134"/>
      </rPr>
      <t>收货汇总</t>
    </r>
    <phoneticPr fontId="1" type="noConversion"/>
  </si>
  <si>
    <r>
      <rPr>
        <b/>
        <sz val="11"/>
        <color theme="1"/>
        <rFont val="等线"/>
        <family val="3"/>
        <charset val="134"/>
      </rPr>
      <t>一月</t>
    </r>
    <phoneticPr fontId="1" type="noConversion"/>
  </si>
  <si>
    <r>
      <rPr>
        <b/>
        <sz val="11"/>
        <color theme="1"/>
        <rFont val="等线"/>
        <family val="3"/>
        <charset val="134"/>
      </rPr>
      <t>二月</t>
    </r>
  </si>
  <si>
    <r>
      <rPr>
        <b/>
        <sz val="11"/>
        <color theme="1"/>
        <rFont val="等线"/>
        <family val="3"/>
        <charset val="134"/>
      </rPr>
      <t>三月</t>
    </r>
  </si>
  <si>
    <r>
      <rPr>
        <b/>
        <sz val="11"/>
        <color theme="1"/>
        <rFont val="等线"/>
        <family val="3"/>
        <charset val="134"/>
      </rPr>
      <t>四月</t>
    </r>
  </si>
  <si>
    <r>
      <rPr>
        <b/>
        <sz val="11"/>
        <color theme="1"/>
        <rFont val="等线"/>
        <family val="3"/>
        <charset val="134"/>
      </rPr>
      <t>五月</t>
    </r>
  </si>
  <si>
    <r>
      <rPr>
        <b/>
        <sz val="11"/>
        <color theme="1"/>
        <rFont val="等线"/>
        <family val="3"/>
        <charset val="134"/>
      </rPr>
      <t>六月</t>
    </r>
  </si>
  <si>
    <r>
      <rPr>
        <b/>
        <sz val="11"/>
        <color theme="1"/>
        <rFont val="等线"/>
        <family val="3"/>
        <charset val="134"/>
      </rPr>
      <t>七月</t>
    </r>
  </si>
  <si>
    <r>
      <rPr>
        <b/>
        <sz val="11"/>
        <color theme="1"/>
        <rFont val="等线"/>
        <family val="3"/>
        <charset val="134"/>
      </rPr>
      <t>八月</t>
    </r>
  </si>
  <si>
    <r>
      <rPr>
        <b/>
        <sz val="11"/>
        <color theme="1"/>
        <rFont val="等线"/>
        <family val="3"/>
        <charset val="134"/>
      </rPr>
      <t>九月</t>
    </r>
  </si>
  <si>
    <r>
      <rPr>
        <b/>
        <sz val="11"/>
        <color theme="1"/>
        <rFont val="等线"/>
        <family val="3"/>
        <charset val="134"/>
      </rPr>
      <t>十月</t>
    </r>
  </si>
  <si>
    <r>
      <rPr>
        <b/>
        <sz val="11"/>
        <color theme="1"/>
        <rFont val="等线"/>
        <family val="3"/>
        <charset val="134"/>
      </rPr>
      <t>十一月</t>
    </r>
  </si>
  <si>
    <r>
      <rPr>
        <b/>
        <sz val="11"/>
        <color theme="1"/>
        <rFont val="等线"/>
        <family val="3"/>
        <charset val="134"/>
      </rPr>
      <t>十二月</t>
    </r>
  </si>
  <si>
    <r>
      <rPr>
        <b/>
        <sz val="11"/>
        <color theme="1"/>
        <rFont val="等线"/>
        <family val="3"/>
        <charset val="134"/>
      </rPr>
      <t>序号</t>
    </r>
    <phoneticPr fontId="1" type="noConversion"/>
  </si>
  <si>
    <r>
      <rPr>
        <b/>
        <sz val="11"/>
        <color theme="1"/>
        <rFont val="等线"/>
        <family val="3"/>
        <charset val="134"/>
      </rPr>
      <t>预算编码</t>
    </r>
    <phoneticPr fontId="1" type="noConversion"/>
  </si>
  <si>
    <r>
      <rPr>
        <b/>
        <sz val="11"/>
        <color theme="1"/>
        <rFont val="等线"/>
        <family val="3"/>
        <charset val="134"/>
      </rPr>
      <t>预算名称</t>
    </r>
    <phoneticPr fontId="1" type="noConversion"/>
  </si>
  <si>
    <r>
      <rPr>
        <b/>
        <sz val="11"/>
        <color theme="1"/>
        <rFont val="等线"/>
        <family val="3"/>
        <charset val="134"/>
      </rPr>
      <t>总金额</t>
    </r>
    <phoneticPr fontId="1" type="noConversion"/>
  </si>
  <si>
    <r>
      <rPr>
        <b/>
        <sz val="11"/>
        <color theme="1"/>
        <rFont val="等线"/>
        <family val="3"/>
        <charset val="134"/>
      </rPr>
      <t>剩余金额</t>
    </r>
    <phoneticPr fontId="1" type="noConversion"/>
  </si>
  <si>
    <r>
      <rPr>
        <b/>
        <sz val="11"/>
        <color theme="1"/>
        <rFont val="等线"/>
        <family val="3"/>
        <charset val="134"/>
      </rPr>
      <t>预算执行率</t>
    </r>
    <phoneticPr fontId="1" type="noConversion"/>
  </si>
  <si>
    <r>
      <t>PR</t>
    </r>
    <r>
      <rPr>
        <b/>
        <sz val="11"/>
        <color theme="1"/>
        <rFont val="等线"/>
        <family val="3"/>
        <charset val="134"/>
      </rPr>
      <t>名称</t>
    </r>
    <phoneticPr fontId="1" type="noConversion"/>
  </si>
  <si>
    <r>
      <rPr>
        <b/>
        <sz val="11"/>
        <color theme="1"/>
        <rFont val="等线"/>
        <family val="3"/>
        <charset val="134"/>
      </rPr>
      <t>完成状态</t>
    </r>
    <phoneticPr fontId="1" type="noConversion"/>
  </si>
  <si>
    <r>
      <t>PR</t>
    </r>
    <r>
      <rPr>
        <b/>
        <sz val="11"/>
        <color theme="1"/>
        <rFont val="等线"/>
        <family val="3"/>
        <charset val="134"/>
      </rPr>
      <t>预算金额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等线"/>
        <family val="3"/>
        <charset val="134"/>
      </rPr>
      <t>未税</t>
    </r>
    <r>
      <rPr>
        <b/>
        <sz val="11"/>
        <color theme="1"/>
        <rFont val="Arial"/>
        <family val="2"/>
      </rPr>
      <t>)</t>
    </r>
    <phoneticPr fontId="1" type="noConversion"/>
  </si>
  <si>
    <r>
      <rPr>
        <b/>
        <sz val="11"/>
        <color theme="1"/>
        <rFont val="等线"/>
        <family val="3"/>
        <charset val="134"/>
      </rPr>
      <t>负责人</t>
    </r>
    <phoneticPr fontId="1" type="noConversion"/>
  </si>
  <si>
    <r>
      <rPr>
        <b/>
        <sz val="11"/>
        <color theme="1"/>
        <rFont val="等线"/>
        <family val="3"/>
        <charset val="134"/>
      </rPr>
      <t>计划上会日期</t>
    </r>
    <phoneticPr fontId="1" type="noConversion"/>
  </si>
  <si>
    <r>
      <rPr>
        <b/>
        <sz val="11"/>
        <color theme="1"/>
        <rFont val="等线"/>
        <family val="3"/>
        <charset val="134"/>
      </rPr>
      <t>实际开</t>
    </r>
    <r>
      <rPr>
        <b/>
        <sz val="11"/>
        <color theme="1"/>
        <rFont val="Arial"/>
        <family val="2"/>
      </rPr>
      <t>PR</t>
    </r>
    <r>
      <rPr>
        <b/>
        <sz val="11"/>
        <color theme="1"/>
        <rFont val="等线"/>
        <family val="3"/>
        <charset val="134"/>
      </rPr>
      <t>日期</t>
    </r>
    <phoneticPr fontId="1" type="noConversion"/>
  </si>
  <si>
    <r>
      <t>PO</t>
    </r>
    <r>
      <rPr>
        <b/>
        <sz val="11"/>
        <color theme="1"/>
        <rFont val="等线"/>
        <family val="3"/>
        <charset val="134"/>
      </rPr>
      <t>号</t>
    </r>
    <phoneticPr fontId="1" type="noConversion"/>
  </si>
  <si>
    <r>
      <t>PO</t>
    </r>
    <r>
      <rPr>
        <b/>
        <sz val="11"/>
        <color theme="1"/>
        <rFont val="等线"/>
        <family val="3"/>
        <charset val="134"/>
      </rPr>
      <t>实际金额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等线"/>
        <family val="3"/>
        <charset val="134"/>
      </rPr>
      <t>未税</t>
    </r>
    <r>
      <rPr>
        <b/>
        <sz val="11"/>
        <color theme="1"/>
        <rFont val="Arial"/>
        <family val="2"/>
      </rPr>
      <t>)</t>
    </r>
    <phoneticPr fontId="1" type="noConversion"/>
  </si>
  <si>
    <r>
      <rPr>
        <b/>
        <sz val="11"/>
        <color theme="1"/>
        <rFont val="等线"/>
        <family val="3"/>
        <charset val="134"/>
      </rPr>
      <t>生成</t>
    </r>
    <r>
      <rPr>
        <b/>
        <sz val="11"/>
        <color theme="1"/>
        <rFont val="Arial"/>
        <family val="2"/>
      </rPr>
      <t>PO</t>
    </r>
    <r>
      <rPr>
        <b/>
        <sz val="11"/>
        <color theme="1"/>
        <rFont val="等线"/>
        <family val="3"/>
        <charset val="134"/>
      </rPr>
      <t>日期</t>
    </r>
  </si>
  <si>
    <r>
      <t>PO</t>
    </r>
    <r>
      <rPr>
        <b/>
        <sz val="11"/>
        <color theme="1"/>
        <rFont val="等线"/>
        <family val="3"/>
        <charset val="134"/>
      </rPr>
      <t>厂商</t>
    </r>
    <phoneticPr fontId="1" type="noConversion"/>
  </si>
  <si>
    <r>
      <rPr>
        <b/>
        <sz val="11"/>
        <color theme="1"/>
        <rFont val="等线"/>
        <family val="3"/>
        <charset val="134"/>
      </rPr>
      <t>计划请款金额</t>
    </r>
    <phoneticPr fontId="1" type="noConversion"/>
  </si>
  <si>
    <r>
      <rPr>
        <b/>
        <sz val="11"/>
        <color theme="1"/>
        <rFont val="等线"/>
        <family val="3"/>
        <charset val="134"/>
      </rPr>
      <t>实际请款金额</t>
    </r>
    <phoneticPr fontId="1" type="noConversion"/>
  </si>
  <si>
    <t>已出PO</t>
  </si>
  <si>
    <r>
      <t>2025</t>
    </r>
    <r>
      <rPr>
        <sz val="11"/>
        <color rgb="FF000000"/>
        <rFont val="微软雅黑"/>
        <family val="2"/>
        <charset val="134"/>
      </rPr>
      <t>年</t>
    </r>
    <r>
      <rPr>
        <sz val="11"/>
        <color rgb="FF000000"/>
        <rFont val="Arial"/>
        <family val="2"/>
      </rPr>
      <t xml:space="preserve">STIC </t>
    </r>
    <r>
      <rPr>
        <sz val="11"/>
        <color rgb="FF000000"/>
        <rFont val="微软雅黑"/>
        <family val="2"/>
        <charset val="134"/>
      </rPr>
      <t>机械课</t>
    </r>
    <r>
      <rPr>
        <sz val="11"/>
        <color rgb="FF000000"/>
        <rFont val="Arial"/>
        <family val="2"/>
      </rPr>
      <t>34M4</t>
    </r>
    <r>
      <rPr>
        <sz val="11"/>
        <color rgb="FF000000"/>
        <rFont val="微软雅黑"/>
        <family val="2"/>
        <charset val="134"/>
      </rPr>
      <t>排气系统</t>
    </r>
    <r>
      <rPr>
        <sz val="11"/>
        <color rgb="FF000000"/>
        <rFont val="Arial"/>
        <family val="2"/>
      </rPr>
      <t>PM</t>
    </r>
    <phoneticPr fontId="1" type="noConversion"/>
  </si>
  <si>
    <t>程琼</t>
    <phoneticPr fontId="1" type="noConversion"/>
  </si>
  <si>
    <t>格林斯达（北京）环保工程有限公司</t>
    <phoneticPr fontId="1" type="noConversion"/>
  </si>
  <si>
    <t>old PO</t>
    <phoneticPr fontId="1" type="noConversion"/>
  </si>
  <si>
    <t>否</t>
  </si>
  <si>
    <r>
      <t>PO</t>
    </r>
    <r>
      <rPr>
        <b/>
        <sz val="11"/>
        <color theme="1"/>
        <rFont val="宋体"/>
        <family val="2"/>
        <charset val="134"/>
      </rPr>
      <t>到期日期</t>
    </r>
    <phoneticPr fontId="1" type="noConversion"/>
  </si>
  <si>
    <t>是</t>
  </si>
  <si>
    <r>
      <t>2024</t>
    </r>
    <r>
      <rPr>
        <sz val="11"/>
        <color rgb="FF000000"/>
        <rFont val="微软雅黑"/>
        <family val="2"/>
        <charset val="134"/>
      </rPr>
      <t>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微软雅黑"/>
        <family val="2"/>
        <charset val="134"/>
      </rPr>
      <t>配套项目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微软雅黑"/>
        <family val="2"/>
        <charset val="134"/>
      </rPr>
      <t>无尘室</t>
    </r>
    <r>
      <rPr>
        <sz val="11"/>
        <color rgb="FF000000"/>
        <rFont val="Arial"/>
        <family val="2"/>
      </rPr>
      <t>&amp;</t>
    </r>
    <r>
      <rPr>
        <sz val="11"/>
        <color rgb="FF000000"/>
        <rFont val="微软雅黑"/>
        <family val="2"/>
        <charset val="134"/>
      </rPr>
      <t>工艺排气系统耗材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软雅黑"/>
        <family val="2"/>
        <charset val="134"/>
      </rPr>
      <t>日式替代</t>
    </r>
    <r>
      <rPr>
        <sz val="11"/>
        <color rgb="FF000000"/>
        <rFont val="Arial"/>
        <family val="2"/>
      </rPr>
      <t>)</t>
    </r>
    <phoneticPr fontId="1" type="noConversion"/>
  </si>
  <si>
    <r>
      <t>2024</t>
    </r>
    <r>
      <rPr>
        <sz val="11"/>
        <color rgb="FF000000"/>
        <rFont val="微软雅黑"/>
        <family val="2"/>
        <charset val="134"/>
      </rPr>
      <t>年</t>
    </r>
    <r>
      <rPr>
        <sz val="11"/>
        <color rgb="FF000000"/>
        <rFont val="Arial"/>
        <family val="2"/>
      </rPr>
      <t xml:space="preserve">STIC </t>
    </r>
    <r>
      <rPr>
        <sz val="11"/>
        <color rgb="FF000000"/>
        <rFont val="微软雅黑"/>
        <family val="2"/>
        <charset val="134"/>
      </rPr>
      <t>机械课</t>
    </r>
    <r>
      <rPr>
        <sz val="11"/>
        <color rgb="FF000000"/>
        <rFont val="Arial"/>
        <family val="2"/>
      </rPr>
      <t>34M4</t>
    </r>
    <r>
      <rPr>
        <sz val="11"/>
        <color rgb="FF000000"/>
        <rFont val="微软雅黑"/>
        <family val="2"/>
        <charset val="134"/>
      </rPr>
      <t>排气系统</t>
    </r>
    <r>
      <rPr>
        <sz val="11"/>
        <color rgb="FF000000"/>
        <rFont val="Arial"/>
        <family val="2"/>
      </rPr>
      <t>PM</t>
    </r>
    <phoneticPr fontId="1" type="noConversion"/>
  </si>
  <si>
    <t>NA</t>
    <phoneticPr fontId="1" type="noConversion"/>
  </si>
  <si>
    <t>请款执行率</t>
    <phoneticPr fontId="1" type="noConversion"/>
  </si>
  <si>
    <t>25Z80050E001</t>
    <phoneticPr fontId="1" type="noConversion"/>
  </si>
  <si>
    <t>此五项可被折叠</t>
    <phoneticPr fontId="1" type="noConversion"/>
  </si>
  <si>
    <t>项目代码</t>
    <phoneticPr fontId="1" type="noConversion"/>
  </si>
  <si>
    <t>C00000</t>
    <phoneticPr fontId="1" type="noConversion"/>
  </si>
  <si>
    <t>除预算名称外，其他各项可被折叠</t>
    <phoneticPr fontId="1" type="noConversion"/>
  </si>
  <si>
    <t>C00939</t>
    <phoneticPr fontId="1" type="noConversion"/>
  </si>
  <si>
    <t>除PO实际金额外，其他各项可被折叠</t>
    <phoneticPr fontId="1" type="noConversion"/>
  </si>
  <si>
    <t>除计划请款金额外，其他各项可被折叠</t>
    <phoneticPr fontId="1" type="noConversion"/>
  </si>
  <si>
    <t>计划收货总比例</t>
    <phoneticPr fontId="1" type="noConversion"/>
  </si>
  <si>
    <r>
      <t>GR</t>
    </r>
    <r>
      <rPr>
        <sz val="12"/>
        <color rgb="FFFF0000"/>
        <rFont val="宋体"/>
        <family val="2"/>
        <charset val="134"/>
      </rPr>
      <t>详情按水课那样折叠展示，显示内容增加实际请款差额和请款执行率，详情下方增加季度、半年度、年度六列汇总。详情导入时计划金额的十二列是相邻的。每年一版预算，年中可能上传或复制编辑新的预算，但要保留以前的预算版本，标记修改内容。</t>
    </r>
    <phoneticPr fontId="1" type="noConversion"/>
  </si>
  <si>
    <r>
      <t>2025</t>
    </r>
    <r>
      <rPr>
        <sz val="11"/>
        <color rgb="FF000000"/>
        <rFont val="微软雅黑"/>
        <family val="2"/>
        <charset val="134"/>
      </rPr>
      <t>年</t>
    </r>
    <r>
      <rPr>
        <sz val="11"/>
        <color rgb="FF000000"/>
        <rFont val="Arial"/>
        <family val="2"/>
      </rPr>
      <t xml:space="preserve">STIC </t>
    </r>
    <r>
      <rPr>
        <sz val="11"/>
        <color rgb="FF000000"/>
        <rFont val="微软雅黑"/>
        <family val="2"/>
        <charset val="134"/>
      </rPr>
      <t>机械课排气系统</t>
    </r>
    <r>
      <rPr>
        <sz val="11"/>
        <color rgb="FF000000"/>
        <rFont val="Arial"/>
        <family val="2"/>
      </rPr>
      <t>PM</t>
    </r>
    <phoneticPr fontId="1" type="noConversion"/>
  </si>
  <si>
    <t>执行金额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</si>
</sst>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&quot;¥&quot;#,##0.00_);[Red]\(&quot;¥&quot;#,##0.00\)"/>
    <numFmt numFmtId="177" formatCode="&quot;¥&quot;#,##0_);[Red]\(&quot;¥&quot;#,##0\)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11"/>
      <color theme="1"/>
      <name val="宋体"/>
      <family val="2"/>
      <charset val="134"/>
    </font>
    <font>
      <b/>
      <sz val="11"/>
      <color theme="1"/>
      <name val="宋体"/>
      <family val="2"/>
      <charset val="134"/>
    </font>
    <font>
      <sz val="12"/>
      <color rgb="FFFF0000"/>
      <name val="Arial"/>
      <family val="2"/>
    </font>
    <font>
      <sz val="12"/>
      <color rgb="FFFF0000"/>
      <name val="宋体"/>
      <family val="2"/>
      <charset val="134"/>
    </font>
    <font>
      <sz val="12"/>
      <color theme="1"/>
      <name val="Arial"/>
      <family val="2"/>
    </font>
    <font>
      <sz val="11"/>
      <color rgb="FFFF0000"/>
      <name val="宋体"/>
      <family val="2"/>
      <charset val="134"/>
    </font>
    <font>
      <sz val="11"/>
      <color rgb="FFFF0000"/>
      <name val="Arial"/>
      <family val="2"/>
    </font>
    <font>
      <b/>
      <sz val="11"/>
      <color theme="1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0" fontId="3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0" fontId="3" fillId="0" borderId="0" xfId="0" applyNumberFormat="1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3" fontId="7" fillId="0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vertical="center"/>
    </xf>
    <xf numFmtId="176" fontId="5" fillId="9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wrapText="1"/>
    </xf>
    <xf numFmtId="177" fontId="7" fillId="0" borderId="12" xfId="0" applyNumberFormat="1" applyFont="1" applyFill="1" applyBorder="1" applyAlignment="1">
      <alignment horizontal="center" vertical="center" wrapText="1"/>
    </xf>
    <xf numFmtId="177" fontId="7" fillId="0" borderId="13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9" fontId="7" fillId="0" borderId="12" xfId="0" applyNumberFormat="1" applyFont="1" applyFill="1" applyBorder="1" applyAlignment="1">
      <alignment horizontal="center" vertical="center" wrapText="1"/>
    </xf>
    <xf numFmtId="9" fontId="7" fillId="0" borderId="13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10"/>
  <sheetViews>
    <sheetView tabSelected="1" zoomScaleNormal="100" workbookViewId="0">
      <selection activeCell="H15" sqref="H15"/>
    </sheetView>
  </sheetViews>
  <sheetFormatPr defaultColWidth="9" defaultRowHeight="14.25" x14ac:dyDescent="0.2"/>
  <cols>
    <col min="1" max="1" width="1.75" style="1" customWidth="1"/>
    <col min="2" max="2" width="4.75" style="17" customWidth="1"/>
    <col min="3" max="3" width="17.125" style="17" customWidth="1"/>
    <col min="4" max="4" width="61" style="17" customWidth="1"/>
    <col min="5" max="6" width="14.75" style="17" customWidth="1"/>
    <col min="7" max="7" width="18.25" style="17" customWidth="1"/>
    <col min="8" max="8" width="18.25" style="37" customWidth="1"/>
    <col min="9" max="9" width="17.5" style="17" customWidth="1"/>
    <col min="10" max="10" width="12.25" style="18" customWidth="1"/>
    <col min="11" max="11" width="32.375" style="1" customWidth="1"/>
    <col min="12" max="12" width="15.375" style="1" customWidth="1"/>
    <col min="13" max="13" width="17.375" style="1" bestFit="1" customWidth="1"/>
    <col min="14" max="15" width="11.75" style="1" customWidth="1"/>
    <col min="16" max="16" width="12.375" style="1" customWidth="1"/>
    <col min="17" max="17" width="15.375" style="1" customWidth="1"/>
    <col min="18" max="18" width="19.625" style="31" bestFit="1" customWidth="1"/>
    <col min="19" max="20" width="18.125" style="1" customWidth="1"/>
    <col min="21" max="21" width="22.5" style="1" customWidth="1"/>
    <col min="22" max="24" width="14.625" style="1" bestFit="1" customWidth="1"/>
    <col min="25" max="25" width="17.875" style="1" customWidth="1"/>
    <col min="26" max="26" width="10.75" style="1" customWidth="1"/>
    <col min="27" max="27" width="14.5" style="1" customWidth="1"/>
    <col min="28" max="28" width="14.875" style="1" customWidth="1"/>
    <col min="29" max="29" width="14.5" style="1" customWidth="1"/>
    <col min="30" max="30" width="14.875" style="1" customWidth="1"/>
    <col min="31" max="31" width="14.5" style="1" customWidth="1"/>
    <col min="32" max="32" width="14.875" style="1" customWidth="1"/>
    <col min="33" max="33" width="14.5" style="1" customWidth="1"/>
    <col min="34" max="34" width="14.875" style="1" customWidth="1"/>
    <col min="35" max="35" width="14.5" style="1" customWidth="1"/>
    <col min="36" max="36" width="14.875" style="1" customWidth="1"/>
    <col min="37" max="37" width="14.5" style="31" customWidth="1"/>
    <col min="38" max="38" width="14.875" style="1" customWidth="1"/>
    <col min="39" max="39" width="14.5" style="1" customWidth="1"/>
    <col min="40" max="40" width="14.875" style="1" customWidth="1"/>
    <col min="41" max="41" width="14.5" style="1" customWidth="1"/>
    <col min="42" max="42" width="14.875" style="1" customWidth="1"/>
    <col min="43" max="43" width="14.5" style="1" customWidth="1"/>
    <col min="44" max="44" width="14.875" style="1" customWidth="1"/>
    <col min="45" max="45" width="14.5" style="1" customWidth="1"/>
    <col min="46" max="46" width="14.875" style="1" customWidth="1"/>
    <col min="47" max="47" width="14.5" style="31" customWidth="1"/>
    <col min="48" max="48" width="14.875" style="1" customWidth="1"/>
    <col min="49" max="49" width="14.5" style="31" customWidth="1"/>
    <col min="50" max="50" width="14.875" style="1" customWidth="1"/>
    <col min="51" max="16384" width="9" style="1"/>
  </cols>
  <sheetData>
    <row r="1" spans="2:50" ht="18.75" customHeight="1" x14ac:dyDescent="0.2">
      <c r="B1" s="38"/>
      <c r="C1" s="59" t="s">
        <v>8</v>
      </c>
      <c r="D1" s="59"/>
      <c r="E1" s="59"/>
      <c r="F1" s="59"/>
      <c r="G1" s="59"/>
      <c r="H1" s="59"/>
      <c r="I1" s="59"/>
      <c r="J1" s="59"/>
      <c r="K1" s="57" t="s">
        <v>9</v>
      </c>
      <c r="L1" s="57"/>
      <c r="M1" s="57"/>
      <c r="N1" s="57"/>
      <c r="O1" s="57"/>
      <c r="P1" s="57"/>
      <c r="Q1" s="61" t="s">
        <v>10</v>
      </c>
      <c r="R1" s="61"/>
      <c r="S1" s="61"/>
      <c r="T1" s="61"/>
      <c r="U1" s="61"/>
      <c r="V1" s="44" t="s">
        <v>2</v>
      </c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</row>
    <row r="2" spans="2:50" ht="33.75" customHeight="1" x14ac:dyDescent="0.2">
      <c r="B2" s="39"/>
      <c r="C2" s="60"/>
      <c r="D2" s="60"/>
      <c r="E2" s="60"/>
      <c r="F2" s="60"/>
      <c r="G2" s="60"/>
      <c r="H2" s="60"/>
      <c r="I2" s="60"/>
      <c r="J2" s="60"/>
      <c r="K2" s="58"/>
      <c r="L2" s="58"/>
      <c r="M2" s="58"/>
      <c r="N2" s="58"/>
      <c r="O2" s="58"/>
      <c r="P2" s="58"/>
      <c r="Q2" s="62"/>
      <c r="R2" s="62"/>
      <c r="S2" s="62"/>
      <c r="T2" s="62"/>
      <c r="U2" s="62"/>
      <c r="V2" s="41" t="s">
        <v>11</v>
      </c>
      <c r="W2" s="42"/>
      <c r="X2" s="42"/>
      <c r="Y2" s="42"/>
      <c r="Z2" s="43"/>
      <c r="AA2" s="40" t="s">
        <v>12</v>
      </c>
      <c r="AB2" s="40"/>
      <c r="AC2" s="46" t="s">
        <v>13</v>
      </c>
      <c r="AD2" s="47"/>
      <c r="AE2" s="46" t="s">
        <v>14</v>
      </c>
      <c r="AF2" s="47"/>
      <c r="AG2" s="46" t="s">
        <v>15</v>
      </c>
      <c r="AH2" s="47"/>
      <c r="AI2" s="46" t="s">
        <v>16</v>
      </c>
      <c r="AJ2" s="47"/>
      <c r="AK2" s="48" t="s">
        <v>17</v>
      </c>
      <c r="AL2" s="49"/>
      <c r="AM2" s="46" t="s">
        <v>18</v>
      </c>
      <c r="AN2" s="47"/>
      <c r="AO2" s="48" t="s">
        <v>19</v>
      </c>
      <c r="AP2" s="49"/>
      <c r="AQ2" s="46" t="s">
        <v>20</v>
      </c>
      <c r="AR2" s="47"/>
      <c r="AS2" s="48" t="s">
        <v>21</v>
      </c>
      <c r="AT2" s="49"/>
      <c r="AU2" s="46" t="s">
        <v>22</v>
      </c>
      <c r="AV2" s="47"/>
      <c r="AW2" s="48" t="s">
        <v>23</v>
      </c>
      <c r="AX2" s="49"/>
    </row>
    <row r="3" spans="2:50" s="17" customFormat="1" ht="33" customHeight="1" x14ac:dyDescent="0.2">
      <c r="B3" s="20" t="s">
        <v>24</v>
      </c>
      <c r="C3" s="21" t="s">
        <v>25</v>
      </c>
      <c r="D3" s="21" t="s">
        <v>26</v>
      </c>
      <c r="E3" s="36" t="s">
        <v>46</v>
      </c>
      <c r="F3" s="36" t="s">
        <v>56</v>
      </c>
      <c r="G3" s="21" t="s">
        <v>27</v>
      </c>
      <c r="H3" s="74" t="s">
        <v>65</v>
      </c>
      <c r="I3" s="21" t="s">
        <v>28</v>
      </c>
      <c r="J3" s="21" t="s">
        <v>29</v>
      </c>
      <c r="K3" s="22" t="s">
        <v>30</v>
      </c>
      <c r="L3" s="22" t="s">
        <v>31</v>
      </c>
      <c r="M3" s="22" t="s">
        <v>32</v>
      </c>
      <c r="N3" s="22" t="s">
        <v>33</v>
      </c>
      <c r="O3" s="22" t="s">
        <v>34</v>
      </c>
      <c r="P3" s="22" t="s">
        <v>35</v>
      </c>
      <c r="Q3" s="23" t="s">
        <v>36</v>
      </c>
      <c r="R3" s="29" t="s">
        <v>37</v>
      </c>
      <c r="S3" s="23" t="s">
        <v>38</v>
      </c>
      <c r="T3" s="23" t="s">
        <v>48</v>
      </c>
      <c r="U3" s="23" t="s">
        <v>39</v>
      </c>
      <c r="V3" s="2" t="s">
        <v>40</v>
      </c>
      <c r="W3" s="35" t="s">
        <v>62</v>
      </c>
      <c r="X3" s="2" t="s">
        <v>41</v>
      </c>
      <c r="Y3" s="2" t="s">
        <v>3</v>
      </c>
      <c r="Z3" s="35" t="s">
        <v>53</v>
      </c>
      <c r="AA3" s="3" t="s">
        <v>4</v>
      </c>
      <c r="AB3" s="3" t="s">
        <v>5</v>
      </c>
      <c r="AC3" s="4" t="s">
        <v>6</v>
      </c>
      <c r="AD3" s="4" t="s">
        <v>7</v>
      </c>
      <c r="AE3" s="3" t="s">
        <v>4</v>
      </c>
      <c r="AF3" s="3" t="s">
        <v>5</v>
      </c>
      <c r="AG3" s="4" t="s">
        <v>6</v>
      </c>
      <c r="AH3" s="4" t="s">
        <v>7</v>
      </c>
      <c r="AI3" s="3" t="s">
        <v>4</v>
      </c>
      <c r="AJ3" s="3" t="s">
        <v>5</v>
      </c>
      <c r="AK3" s="10" t="s">
        <v>6</v>
      </c>
      <c r="AL3" s="5" t="s">
        <v>7</v>
      </c>
      <c r="AM3" s="3" t="s">
        <v>4</v>
      </c>
      <c r="AN3" s="3" t="s">
        <v>5</v>
      </c>
      <c r="AO3" s="5" t="s">
        <v>6</v>
      </c>
      <c r="AP3" s="5" t="s">
        <v>7</v>
      </c>
      <c r="AQ3" s="3" t="s">
        <v>4</v>
      </c>
      <c r="AR3" s="3" t="s">
        <v>5</v>
      </c>
      <c r="AS3" s="5" t="s">
        <v>6</v>
      </c>
      <c r="AT3" s="5" t="s">
        <v>7</v>
      </c>
      <c r="AU3" s="34" t="s">
        <v>6</v>
      </c>
      <c r="AV3" s="3" t="s">
        <v>7</v>
      </c>
      <c r="AW3" s="10" t="s">
        <v>6</v>
      </c>
      <c r="AX3" s="5" t="s">
        <v>7</v>
      </c>
    </row>
    <row r="4" spans="2:50" ht="27" customHeight="1" x14ac:dyDescent="0.2">
      <c r="B4" s="65">
        <v>1</v>
      </c>
      <c r="C4" s="63" t="s">
        <v>0</v>
      </c>
      <c r="D4" s="63" t="s">
        <v>1</v>
      </c>
      <c r="E4" s="63" t="s">
        <v>47</v>
      </c>
      <c r="F4" s="63" t="s">
        <v>59</v>
      </c>
      <c r="G4" s="68">
        <v>1252000</v>
      </c>
      <c r="H4" s="68">
        <f>R4+R5</f>
        <v>750890</v>
      </c>
      <c r="I4" s="68">
        <f>G4-H4-H5</f>
        <v>501110</v>
      </c>
      <c r="J4" s="71">
        <f>(H4+H5)/G4</f>
        <v>0.59975239616613418</v>
      </c>
      <c r="K4" s="25" t="s">
        <v>43</v>
      </c>
      <c r="L4" s="26" t="s">
        <v>42</v>
      </c>
      <c r="M4" s="27">
        <v>940000</v>
      </c>
      <c r="N4" s="32" t="s">
        <v>44</v>
      </c>
      <c r="O4" s="8">
        <v>45773</v>
      </c>
      <c r="P4" s="8">
        <v>45769</v>
      </c>
      <c r="Q4" s="25">
        <v>8825000430</v>
      </c>
      <c r="R4" s="30">
        <v>690445</v>
      </c>
      <c r="S4" s="8">
        <v>45814</v>
      </c>
      <c r="T4" s="8">
        <v>46179</v>
      </c>
      <c r="U4" s="25" t="s">
        <v>45</v>
      </c>
      <c r="V4" s="10">
        <f t="shared" ref="V4" si="0">AA4+AC4+AE4+AG4+AI4+AK4+AM4+AO4+AQ4+AS4+AU4+AW4</f>
        <v>465728</v>
      </c>
      <c r="W4" s="11">
        <f>V4/G4</f>
        <v>0.37198722044728433</v>
      </c>
      <c r="X4" s="10">
        <f t="shared" ref="X4" si="1">AB4+AD4+AF4+AH4+AJ4+AL4+AN4+AP4+AR4+AT4+AV4+AX4</f>
        <v>232864</v>
      </c>
      <c r="Y4" s="10">
        <f>X4-V4</f>
        <v>-232864</v>
      </c>
      <c r="Z4" s="6">
        <f>X4/V4</f>
        <v>0.5</v>
      </c>
      <c r="AA4" s="12"/>
      <c r="AB4" s="13"/>
      <c r="AC4" s="14"/>
      <c r="AD4" s="15"/>
      <c r="AE4" s="12"/>
      <c r="AF4" s="13"/>
      <c r="AG4" s="14"/>
      <c r="AH4" s="15"/>
      <c r="AI4" s="12"/>
      <c r="AJ4" s="13"/>
      <c r="AK4" s="33">
        <v>232864</v>
      </c>
      <c r="AL4" s="16">
        <v>232864</v>
      </c>
      <c r="AM4" s="12"/>
      <c r="AN4" s="13"/>
      <c r="AO4" s="9"/>
      <c r="AP4" s="16"/>
      <c r="AQ4" s="12"/>
      <c r="AR4" s="13"/>
      <c r="AS4" s="9"/>
      <c r="AT4" s="16"/>
      <c r="AU4" s="28"/>
      <c r="AV4" s="13"/>
      <c r="AW4" s="33">
        <v>232864</v>
      </c>
      <c r="AX4" s="16"/>
    </row>
    <row r="5" spans="2:50" ht="27" customHeight="1" x14ac:dyDescent="0.2">
      <c r="B5" s="66"/>
      <c r="C5" s="64"/>
      <c r="D5" s="64"/>
      <c r="E5" s="64"/>
      <c r="F5" s="64"/>
      <c r="G5" s="69"/>
      <c r="H5" s="69"/>
      <c r="I5" s="69"/>
      <c r="J5" s="72"/>
      <c r="K5" s="25" t="s">
        <v>64</v>
      </c>
      <c r="L5" s="26" t="s">
        <v>42</v>
      </c>
      <c r="M5" s="27">
        <v>90000</v>
      </c>
      <c r="N5" s="32" t="s">
        <v>44</v>
      </c>
      <c r="O5" s="8">
        <v>45773</v>
      </c>
      <c r="P5" s="8">
        <v>45769</v>
      </c>
      <c r="Q5" s="25">
        <v>8825000431</v>
      </c>
      <c r="R5" s="30">
        <v>60445</v>
      </c>
      <c r="S5" s="8">
        <v>45814</v>
      </c>
      <c r="T5" s="8">
        <v>46179</v>
      </c>
      <c r="U5" s="25" t="s">
        <v>45</v>
      </c>
      <c r="V5" s="10">
        <f>AA5+AC5+AE5+AG5+AI5+AK5+AM5+AO5+AQ5+AS5+AU5+AW5</f>
        <v>45728</v>
      </c>
      <c r="W5" s="11">
        <f>V5/G4</f>
        <v>3.652396166134185E-2</v>
      </c>
      <c r="X5" s="10">
        <f t="shared" ref="X5" si="2">AB5+AD5+AF5+AH5+AJ5+AL5+AN5+AP5+AR5+AT5+AV5+AX5</f>
        <v>22864</v>
      </c>
      <c r="Y5" s="10">
        <f>X5-V5</f>
        <v>-22864</v>
      </c>
      <c r="Z5" s="6">
        <f>X5/V5</f>
        <v>0.5</v>
      </c>
      <c r="AA5" s="12"/>
      <c r="AB5" s="13"/>
      <c r="AC5" s="14"/>
      <c r="AD5" s="15"/>
      <c r="AE5" s="12"/>
      <c r="AF5" s="13"/>
      <c r="AG5" s="14"/>
      <c r="AH5" s="15"/>
      <c r="AI5" s="12"/>
      <c r="AJ5" s="13"/>
      <c r="AK5" s="33">
        <v>22864</v>
      </c>
      <c r="AL5" s="16">
        <v>22864</v>
      </c>
      <c r="AM5" s="12"/>
      <c r="AN5" s="13"/>
      <c r="AO5" s="9"/>
      <c r="AP5" s="16"/>
      <c r="AQ5" s="12"/>
      <c r="AR5" s="13"/>
      <c r="AS5" s="9"/>
      <c r="AT5" s="16"/>
      <c r="AU5" s="28"/>
      <c r="AV5" s="13"/>
      <c r="AW5" s="33">
        <v>22864</v>
      </c>
      <c r="AX5" s="16"/>
    </row>
    <row r="6" spans="2:50" ht="27" customHeight="1" x14ac:dyDescent="0.2">
      <c r="B6" s="7">
        <v>2</v>
      </c>
      <c r="C6" s="24" t="s">
        <v>54</v>
      </c>
      <c r="D6" s="24" t="s">
        <v>50</v>
      </c>
      <c r="E6" s="25" t="s">
        <v>49</v>
      </c>
      <c r="F6" s="25" t="s">
        <v>57</v>
      </c>
      <c r="G6" s="67">
        <f>V6</f>
        <v>465728</v>
      </c>
      <c r="H6" s="67">
        <f>X6</f>
        <v>232864</v>
      </c>
      <c r="I6" s="73">
        <f>G6-H6</f>
        <v>232864</v>
      </c>
      <c r="J6" s="70">
        <f>H6/G6</f>
        <v>0.5</v>
      </c>
      <c r="K6" s="25" t="s">
        <v>51</v>
      </c>
      <c r="L6" s="26" t="s">
        <v>42</v>
      </c>
      <c r="M6" s="27" t="s">
        <v>52</v>
      </c>
      <c r="N6" s="32" t="s">
        <v>44</v>
      </c>
      <c r="O6" s="8" t="s">
        <v>52</v>
      </c>
      <c r="P6" s="8" t="s">
        <v>52</v>
      </c>
      <c r="Q6" s="25">
        <v>8825000432</v>
      </c>
      <c r="R6" s="30">
        <v>690445</v>
      </c>
      <c r="S6" s="8">
        <v>45814</v>
      </c>
      <c r="T6" s="8">
        <v>46179</v>
      </c>
      <c r="U6" s="25" t="s">
        <v>45</v>
      </c>
      <c r="V6" s="10">
        <f>AA6+AC6+AE6+AG6+AI6+AK6+AM6+AO6+AQ6+AS6+AU6+AW6</f>
        <v>465728</v>
      </c>
      <c r="W6" s="11">
        <f>V6/R6</f>
        <v>0.67453309097755798</v>
      </c>
      <c r="X6" s="10">
        <f t="shared" ref="X6" si="3">AB6+AD6+AF6+AH6+AJ6+AL6+AN6+AP6+AR6+AT6+AV6+AX6</f>
        <v>232864</v>
      </c>
      <c r="Y6" s="10">
        <f>X6-V6</f>
        <v>-232864</v>
      </c>
      <c r="Z6" s="6">
        <f>X6/V6</f>
        <v>0.5</v>
      </c>
      <c r="AA6" s="12"/>
      <c r="AB6" s="13"/>
      <c r="AC6" s="14"/>
      <c r="AD6" s="15"/>
      <c r="AE6" s="12"/>
      <c r="AF6" s="13"/>
      <c r="AG6" s="14"/>
      <c r="AH6" s="15"/>
      <c r="AI6" s="12"/>
      <c r="AJ6" s="13"/>
      <c r="AK6" s="33">
        <v>232864</v>
      </c>
      <c r="AL6" s="16">
        <v>232864</v>
      </c>
      <c r="AM6" s="12"/>
      <c r="AN6" s="13"/>
      <c r="AO6" s="9"/>
      <c r="AP6" s="16"/>
      <c r="AQ6" s="12"/>
      <c r="AR6" s="13"/>
      <c r="AS6" s="9"/>
      <c r="AT6" s="16"/>
      <c r="AU6" s="28"/>
      <c r="AV6" s="13"/>
      <c r="AW6" s="33">
        <v>232864</v>
      </c>
      <c r="AX6" s="16"/>
    </row>
    <row r="7" spans="2:50" x14ac:dyDescent="0.2">
      <c r="N7" s="19"/>
      <c r="O7" s="19"/>
      <c r="P7" s="19"/>
      <c r="Q7" s="19"/>
      <c r="S7" s="19"/>
      <c r="T7" s="19"/>
    </row>
    <row r="8" spans="2:50" x14ac:dyDescent="0.2">
      <c r="C8" s="52" t="s">
        <v>58</v>
      </c>
      <c r="D8" s="53"/>
      <c r="E8" s="53"/>
      <c r="F8" s="53"/>
      <c r="G8" s="53"/>
      <c r="H8" s="53"/>
      <c r="I8" s="53"/>
      <c r="J8" s="54"/>
      <c r="L8" s="52" t="s">
        <v>55</v>
      </c>
      <c r="M8" s="53"/>
      <c r="N8" s="53"/>
      <c r="O8" s="53"/>
      <c r="P8" s="54"/>
      <c r="Q8" s="52" t="s">
        <v>60</v>
      </c>
      <c r="R8" s="53"/>
      <c r="S8" s="53"/>
      <c r="T8" s="53"/>
      <c r="U8" s="54"/>
      <c r="V8" s="52" t="s">
        <v>61</v>
      </c>
      <c r="W8" s="53"/>
      <c r="X8" s="53"/>
      <c r="Y8" s="53"/>
      <c r="Z8" s="54"/>
    </row>
    <row r="9" spans="2:50" x14ac:dyDescent="0.2">
      <c r="N9" s="19"/>
      <c r="O9" s="19"/>
      <c r="P9" s="19"/>
      <c r="Q9" s="19"/>
      <c r="S9" s="19"/>
      <c r="T9" s="19"/>
      <c r="V9" s="55"/>
      <c r="W9" s="55"/>
      <c r="X9" s="55"/>
      <c r="Y9" s="55"/>
      <c r="Z9" s="55"/>
      <c r="AA9" s="50" t="s">
        <v>63</v>
      </c>
      <c r="AB9" s="51"/>
      <c r="AC9" s="51"/>
      <c r="AD9" s="51"/>
      <c r="AE9" s="51"/>
      <c r="AF9" s="51"/>
    </row>
    <row r="10" spans="2:50" ht="30" customHeight="1" x14ac:dyDescent="0.2">
      <c r="N10" s="19"/>
      <c r="O10" s="19"/>
      <c r="P10" s="19"/>
      <c r="Q10" s="19"/>
      <c r="S10" s="19"/>
      <c r="T10" s="19"/>
      <c r="V10" s="56"/>
      <c r="W10" s="56"/>
      <c r="X10" s="56"/>
      <c r="Y10" s="56"/>
      <c r="Z10" s="56"/>
      <c r="AA10" s="51"/>
      <c r="AB10" s="51"/>
      <c r="AC10" s="51"/>
      <c r="AD10" s="51"/>
      <c r="AE10" s="51"/>
      <c r="AF10" s="51"/>
    </row>
  </sheetData>
  <autoFilter ref="O1:O10" xr:uid="{00000000-0001-0000-0000-000000000000}"/>
  <customSheetViews>
    <customSheetView guid="{1D8AE29F-75B4-4383-A158-6A577C007B92}" scale="85" topLeftCell="A4">
      <selection activeCell="G13" sqref="G13:G15"/>
      <pageMargins left="0.7" right="0.7" top="0.75" bottom="0.75" header="0.3" footer="0.3"/>
      <pageSetup paperSize="9" orientation="portrait" r:id="rId1"/>
    </customSheetView>
    <customSheetView guid="{0A48DD9A-B30D-460B-9140-08301E578545}" scale="55">
      <selection activeCell="N26" sqref="N26"/>
      <pageMargins left="0.7" right="0.7" top="0.75" bottom="0.75" header="0.3" footer="0.3"/>
      <pageSetup paperSize="9" orientation="portrait" r:id="rId2"/>
    </customSheetView>
    <customSheetView guid="{3D0E8A65-E27F-4DA0-AFF1-0478A9FA9118}" scale="70" topLeftCell="A4">
      <selection activeCell="F31" sqref="F31"/>
      <pageMargins left="0.7" right="0.7" top="0.75" bottom="0.75" header="0.3" footer="0.3"/>
      <pageSetup paperSize="9" orientation="portrait" r:id="rId3"/>
    </customSheetView>
    <customSheetView guid="{B1D0772F-41F2-4B1B-94B7-A7CD7BD5F1EA}" scale="85" topLeftCell="A16">
      <selection activeCell="C23" sqref="C22:C23"/>
      <pageMargins left="0.7" right="0.7" top="0.75" bottom="0.75" header="0.3" footer="0.3"/>
      <pageSetup paperSize="9" orientation="portrait" r:id="rId4"/>
    </customSheetView>
  </customSheetViews>
  <mergeCells count="33">
    <mergeCell ref="C1:J2"/>
    <mergeCell ref="Q1:U2"/>
    <mergeCell ref="C4:C5"/>
    <mergeCell ref="B4:B5"/>
    <mergeCell ref="D4:D5"/>
    <mergeCell ref="E4:E5"/>
    <mergeCell ref="F4:F5"/>
    <mergeCell ref="G4:G5"/>
    <mergeCell ref="I4:I5"/>
    <mergeCell ref="J4:J5"/>
    <mergeCell ref="H4:H5"/>
    <mergeCell ref="AA9:AF10"/>
    <mergeCell ref="L8:P8"/>
    <mergeCell ref="C8:J8"/>
    <mergeCell ref="Q8:U8"/>
    <mergeCell ref="V8:Z8"/>
    <mergeCell ref="V9:Z10"/>
    <mergeCell ref="B1:B2"/>
    <mergeCell ref="AA2:AB2"/>
    <mergeCell ref="V2:Z2"/>
    <mergeCell ref="V1:AX1"/>
    <mergeCell ref="AU2:AV2"/>
    <mergeCell ref="AW2:AX2"/>
    <mergeCell ref="AK2:AL2"/>
    <mergeCell ref="AM2:AN2"/>
    <mergeCell ref="AO2:AP2"/>
    <mergeCell ref="AQ2:AR2"/>
    <mergeCell ref="AS2:AT2"/>
    <mergeCell ref="AC2:AD2"/>
    <mergeCell ref="AE2:AF2"/>
    <mergeCell ref="AG2:AH2"/>
    <mergeCell ref="AI2:AJ2"/>
    <mergeCell ref="K1:P2"/>
  </mergeCells>
  <phoneticPr fontId="1" type="noConversion"/>
  <dataValidations count="2">
    <dataValidation type="list" allowBlank="1" showInputMessage="1" showErrorMessage="1" sqref="L4:L6" xr:uid="{9395296A-449F-497F-BCA2-E73F0823EB61}">
      <formula1>"已启动,上会中,PR流程中,采购议价,已出PO,已完成"</formula1>
    </dataValidation>
    <dataValidation type="list" allowBlank="1" showInputMessage="1" showErrorMessage="1" sqref="E4 E6" xr:uid="{ECF8E0DA-16BC-4D8D-B314-B9704EA54E1C}">
      <formula1>"是,否"</formula1>
    </dataValidation>
  </dataValidation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Bo_Wang(王博)</dc:creator>
  <cp:lastModifiedBy>Bo_Wang(王博)</cp:lastModifiedBy>
  <dcterms:created xsi:type="dcterms:W3CDTF">2015-06-05T18:19:34Z</dcterms:created>
  <dcterms:modified xsi:type="dcterms:W3CDTF">2025-08-12T07:48:57Z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[DocID]=87FE6FEB-4B1F-42F8-9D21-796F70C9B779</vt:lpwstr>
  </op:property>
  <op:property fmtid="{D5CDD505-2E9C-101B-9397-08002B2CF9AE}" pid="3" name="_IPGFLOW_P-BB19_E-0_CV-88520CEC_CN-4C1D7AC4">
    <vt:lpwstr>DPFPMK|3|50|1|0</vt:lpwstr>
  </op:property>
  <op:property fmtid="{D5CDD505-2E9C-101B-9397-08002B2CF9AE}" pid="4" name="_IPGFLOW_P-BB19_E-1_FP-1_SP-1_CV-BD0FA78B_CN-85A61AA6">
    <vt:lpwstr>WBycqE1RiqfVQEZsPQagQiXTPDDXcGJwJ1aaVgindX4Dwqew+uZzDDpski7h/Ui7zyHwxqBT1n5X/rZ+PHeOp+RBtNzZhOyUOwRwZKNqhtxQbMQjxkLoTfkWFdWeKr0uZyixnaOyxRZkL04TczeY9qCfB+4eCUCdVCGaQ6lbfzV1UWgt4TigvluseFirU5a6owEHpbrbkG8C/+U00D61gYDo1oxu4Xp79l6Zu2eyGjn0TBWFRf6nisj4AF6zp23</vt:lpwstr>
  </op:property>
  <op:property fmtid="{D5CDD505-2E9C-101B-9397-08002B2CF9AE}" pid="5" name="_IPGFLOW_P-BB19_E-1_FP-1_SP-2_CV-6A35873_CN-1EC46B8">
    <vt:lpwstr>+pk0ELyfkpimQGCekO0WWQOBJqcEvvv3fozW0i9D68t+dNWx34bGPIdkhiM+82AGHS0ODEmJsFMsODpjvYbB77rwEo0Rl930o+/jcwUVbiJRPvKaGJ+Ekjb99Hy11Qsejvzvc/TDIPqa9VbrVRka5Ew==</vt:lpwstr>
  </op:property>
  <op:property fmtid="{D5CDD505-2E9C-101B-9397-08002B2CF9AE}" pid="6" name="_IPGFLOW_P-BB19_E-0_FP-1_CV-FB4CA461_CN-DAD41A92">
    <vt:lpwstr>DPSPMK|3|408|2|0</vt:lpwstr>
  </op:property>
</op:Properties>
</file>